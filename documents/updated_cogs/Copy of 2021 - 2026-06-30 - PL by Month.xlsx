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t\Desktop\"/>
    </mc:Choice>
  </mc:AlternateContent>
  <xr:revisionPtr revIDLastSave="0" documentId="8_{C0C6F12C-6596-4CAA-B635-938D2BA5DE79}" xr6:coauthVersionLast="47" xr6:coauthVersionMax="47" xr10:uidLastSave="{00000000-0000-0000-0000-000000000000}"/>
  <bookViews>
    <workbookView xWindow="-98" yWindow="-98" windowWidth="28996" windowHeight="15675" activeTab="1" xr2:uid="{76C59848-730A-45BB-9218-FD8BF4D7257E}"/>
  </bookViews>
  <sheets>
    <sheet name="QuickBooks Desktop Export Tip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Sheet1!$A:$E,Sheet1!$1:$1</definedName>
    <definedName name="QB_COLUMN_2921" localSheetId="1" hidden="1">Sheet1!$F$1</definedName>
    <definedName name="QB_COLUMN_29210" localSheetId="1" hidden="1">Sheet1!$X$1</definedName>
    <definedName name="QB_COLUMN_29211" localSheetId="1" hidden="1">Sheet1!$Z$1</definedName>
    <definedName name="QB_COLUMN_29212" localSheetId="1" hidden="1">Sheet1!$AB$1</definedName>
    <definedName name="QB_COLUMN_29213" localSheetId="1" hidden="1">Sheet1!$AD$1</definedName>
    <definedName name="QB_COLUMN_29214" localSheetId="1" hidden="1">Sheet1!$AF$1</definedName>
    <definedName name="QB_COLUMN_29215" localSheetId="1" hidden="1">Sheet1!$AH$1</definedName>
    <definedName name="QB_COLUMN_29216" localSheetId="1" hidden="1">Sheet1!$AJ$1</definedName>
    <definedName name="QB_COLUMN_29217" localSheetId="1" hidden="1">Sheet1!$AL$1</definedName>
    <definedName name="QB_COLUMN_29218" localSheetId="1" hidden="1">Sheet1!$AN$1</definedName>
    <definedName name="QB_COLUMN_29219" localSheetId="1" hidden="1">Sheet1!$AP$1</definedName>
    <definedName name="QB_COLUMN_2922" localSheetId="1" hidden="1">Sheet1!$H$1</definedName>
    <definedName name="QB_COLUMN_29220" localSheetId="1" hidden="1">Sheet1!$AR$1</definedName>
    <definedName name="QB_COLUMN_29221" localSheetId="1" hidden="1">Sheet1!$AT$1</definedName>
    <definedName name="QB_COLUMN_29222" localSheetId="1" hidden="1">Sheet1!$AV$1</definedName>
    <definedName name="QB_COLUMN_29223" localSheetId="1" hidden="1">Sheet1!$AX$1</definedName>
    <definedName name="QB_COLUMN_29224" localSheetId="1" hidden="1">Sheet1!$AZ$1</definedName>
    <definedName name="QB_COLUMN_29225" localSheetId="1" hidden="1">Sheet1!$BB$1</definedName>
    <definedName name="QB_COLUMN_29226" localSheetId="1" hidden="1">Sheet1!$BD$1</definedName>
    <definedName name="QB_COLUMN_29227" localSheetId="1" hidden="1">Sheet1!$BF$1</definedName>
    <definedName name="QB_COLUMN_29228" localSheetId="1" hidden="1">Sheet1!$BH$1</definedName>
    <definedName name="QB_COLUMN_29229" localSheetId="1" hidden="1">Sheet1!$BJ$1</definedName>
    <definedName name="QB_COLUMN_2923" localSheetId="1" hidden="1">Sheet1!$J$1</definedName>
    <definedName name="QB_COLUMN_29230" localSheetId="1" hidden="1">Sheet1!$BL$1</definedName>
    <definedName name="QB_COLUMN_29231" localSheetId="1" hidden="1">Sheet1!$BN$1</definedName>
    <definedName name="QB_COLUMN_29232" localSheetId="1" hidden="1">Sheet1!$BP$1</definedName>
    <definedName name="QB_COLUMN_29233" localSheetId="1" hidden="1">Sheet1!$BR$1</definedName>
    <definedName name="QB_COLUMN_29234" localSheetId="1" hidden="1">Sheet1!$BT$1</definedName>
    <definedName name="QB_COLUMN_29235" localSheetId="1" hidden="1">Sheet1!$BV$1</definedName>
    <definedName name="QB_COLUMN_29236" localSheetId="1" hidden="1">Sheet1!$BX$1</definedName>
    <definedName name="QB_COLUMN_29237" localSheetId="1" hidden="1">Sheet1!$BZ$1</definedName>
    <definedName name="QB_COLUMN_29238" localSheetId="1" hidden="1">Sheet1!$CB$1</definedName>
    <definedName name="QB_COLUMN_29239" localSheetId="1" hidden="1">Sheet1!$CD$1</definedName>
    <definedName name="QB_COLUMN_2924" localSheetId="1" hidden="1">Sheet1!$L$1</definedName>
    <definedName name="QB_COLUMN_29240" localSheetId="1" hidden="1">Sheet1!$CF$1</definedName>
    <definedName name="QB_COLUMN_29241" localSheetId="1" hidden="1">Sheet1!$CH$1</definedName>
    <definedName name="QB_COLUMN_29242" localSheetId="1" hidden="1">Sheet1!$CJ$1</definedName>
    <definedName name="QB_COLUMN_29243" localSheetId="1" hidden="1">Sheet1!$CL$1</definedName>
    <definedName name="QB_COLUMN_29244" localSheetId="1" hidden="1">Sheet1!$CN$1</definedName>
    <definedName name="QB_COLUMN_29245" localSheetId="1" hidden="1">Sheet1!$CP$1</definedName>
    <definedName name="QB_COLUMN_29246" localSheetId="1" hidden="1">Sheet1!$CR$1</definedName>
    <definedName name="QB_COLUMN_29247" localSheetId="1" hidden="1">Sheet1!$CT$1</definedName>
    <definedName name="QB_COLUMN_29248" localSheetId="1" hidden="1">Sheet1!$CV$1</definedName>
    <definedName name="QB_COLUMN_29249" localSheetId="1" hidden="1">Sheet1!$CX$1</definedName>
    <definedName name="QB_COLUMN_2925" localSheetId="1" hidden="1">Sheet1!$N$1</definedName>
    <definedName name="QB_COLUMN_29250" localSheetId="1" hidden="1">Sheet1!$CZ$1</definedName>
    <definedName name="QB_COLUMN_29251" localSheetId="1" hidden="1">Sheet1!$DB$1</definedName>
    <definedName name="QB_COLUMN_29252" localSheetId="1" hidden="1">Sheet1!$DD$1</definedName>
    <definedName name="QB_COLUMN_29253" localSheetId="1" hidden="1">Sheet1!$DF$1</definedName>
    <definedName name="QB_COLUMN_29254" localSheetId="1" hidden="1">Sheet1!$DH$1</definedName>
    <definedName name="QB_COLUMN_29255" localSheetId="1" hidden="1">Sheet1!$DJ$1</definedName>
    <definedName name="QB_COLUMN_29256" localSheetId="1" hidden="1">Sheet1!$DL$1</definedName>
    <definedName name="QB_COLUMN_29257" localSheetId="1" hidden="1">Sheet1!$DN$1</definedName>
    <definedName name="QB_COLUMN_29258" localSheetId="1" hidden="1">Sheet1!$DP$1</definedName>
    <definedName name="QB_COLUMN_29259" localSheetId="1" hidden="1">Sheet1!$DR$1</definedName>
    <definedName name="QB_COLUMN_2926" localSheetId="1" hidden="1">Sheet1!$P$1</definedName>
    <definedName name="QB_COLUMN_29260" localSheetId="1" hidden="1">Sheet1!$DT$1</definedName>
    <definedName name="QB_COLUMN_29261" localSheetId="1" hidden="1">Sheet1!$DV$1</definedName>
    <definedName name="QB_COLUMN_29262" localSheetId="1" hidden="1">Sheet1!$DX$1</definedName>
    <definedName name="QB_COLUMN_29263" localSheetId="1" hidden="1">Sheet1!$DZ$1</definedName>
    <definedName name="QB_COLUMN_29264" localSheetId="1" hidden="1">Sheet1!$EB$1</definedName>
    <definedName name="QB_COLUMN_29265" localSheetId="1" hidden="1">Sheet1!$ED$1</definedName>
    <definedName name="QB_COLUMN_29266" localSheetId="1" hidden="1">Sheet1!$EF$1</definedName>
    <definedName name="QB_COLUMN_2927" localSheetId="1" hidden="1">Sheet1!$R$1</definedName>
    <definedName name="QB_COLUMN_2928" localSheetId="1" hidden="1">Sheet1!$T$1</definedName>
    <definedName name="QB_COLUMN_2929" localSheetId="1" hidden="1">Sheet1!$V$1</definedName>
    <definedName name="QB_COLUMN_2930" localSheetId="1" hidden="1">Sheet1!$EH$1</definedName>
    <definedName name="QB_DATA_0" localSheetId="1" hidden="1">Sheet1!$4:$4,Sheet1!$5:$5,Sheet1!$6:$6,Sheet1!$7:$7,Sheet1!$8:$8,Sheet1!$9:$9,Sheet1!$10:$10,Sheet1!$11:$11,Sheet1!$14:$14,Sheet1!$15:$15,Sheet1!$16:$16,Sheet1!$17:$17,Sheet1!$18:$18,Sheet1!$19:$19,Sheet1!$20:$20,Sheet1!$21:$21</definedName>
    <definedName name="QB_DATA_1" localSheetId="1" hidden="1">Sheet1!$22:$22,Sheet1!$23:$23,Sheet1!$24:$24,Sheet1!$25:$25,Sheet1!$26:$26,Sheet1!$27:$27,Sheet1!$28:$28,Sheet1!$29:$29,Sheet1!$30:$30,Sheet1!$31:$31,Sheet1!$32:$32,Sheet1!$33:$33,Sheet1!$34:$34,Sheet1!$35:$35,Sheet1!$36:$36,Sheet1!$37:$37</definedName>
    <definedName name="QB_DATA_2" localSheetId="1" hidden="1">Sheet1!$38:$38,Sheet1!$39:$39,Sheet1!$40:$40,Sheet1!$41:$41,Sheet1!$42:$42,Sheet1!$43:$43,Sheet1!$47:$47,Sheet1!$48:$48,Sheet1!$49:$49,Sheet1!$50:$50,Sheet1!$51:$51,Sheet1!$52:$52,Sheet1!$53:$53,Sheet1!$54:$54,Sheet1!$55:$55,Sheet1!$56:$56</definedName>
    <definedName name="QB_DATA_3" localSheetId="1" hidden="1">Sheet1!$57:$57,Sheet1!$58:$58,Sheet1!$59:$59,Sheet1!$60:$60,Sheet1!$61:$61,Sheet1!$62:$62,Sheet1!$63:$63,Sheet1!$64:$64,Sheet1!$65:$65,Sheet1!$66:$66,Sheet1!$67:$67,Sheet1!$68:$68,Sheet1!$69:$69,Sheet1!$70:$70,Sheet1!$71:$71,Sheet1!$72:$72</definedName>
    <definedName name="QB_DATA_4" localSheetId="1" hidden="1">Sheet1!$73:$73,Sheet1!$74:$74,Sheet1!$75:$75,Sheet1!$76:$76,Sheet1!$77:$77,Sheet1!$78:$78,Sheet1!$79:$79,Sheet1!$80:$80,Sheet1!$81:$81,Sheet1!$86:$86,Sheet1!$87:$87,Sheet1!$88:$88,Sheet1!$89:$89,Sheet1!$92:$92</definedName>
    <definedName name="QB_FORMULA_0" localSheetId="1" hidden="1">Sheet1!$EH$4,Sheet1!$EH$5,Sheet1!$EH$6,Sheet1!$EH$7,Sheet1!$EH$8,Sheet1!$EH$9,Sheet1!$EH$10,Sheet1!$EH$11,Sheet1!$F$12,Sheet1!$H$12,Sheet1!$J$12,Sheet1!$L$12,Sheet1!$N$12,Sheet1!$P$12,Sheet1!$R$12,Sheet1!$T$12</definedName>
    <definedName name="QB_FORMULA_1" localSheetId="1" hidden="1">Sheet1!$V$12,Sheet1!$X$12,Sheet1!$Z$12,Sheet1!$AB$12,Sheet1!$AD$12,Sheet1!$AF$12,Sheet1!$AH$12,Sheet1!$AJ$12,Sheet1!$AL$12,Sheet1!$AN$12,Sheet1!$AP$12,Sheet1!$AR$12,Sheet1!$AT$12,Sheet1!$AV$12,Sheet1!$AX$12,Sheet1!$AZ$12</definedName>
    <definedName name="QB_FORMULA_10" localSheetId="1" hidden="1">Sheet1!$DL$44,Sheet1!$DN$44,Sheet1!$DP$44,Sheet1!$DR$44,Sheet1!$DT$44,Sheet1!$DV$44,Sheet1!$DX$44,Sheet1!$DZ$44,Sheet1!$EB$44,Sheet1!$ED$44,Sheet1!$EF$44,Sheet1!$EH$44,Sheet1!$F$45,Sheet1!$H$45,Sheet1!$J$45,Sheet1!$L$45</definedName>
    <definedName name="QB_FORMULA_11" localSheetId="1" hidden="1">Sheet1!$N$45,Sheet1!$P$45,Sheet1!$R$45,Sheet1!$T$45,Sheet1!$V$45,Sheet1!$X$45,Sheet1!$Z$45,Sheet1!$AB$45,Sheet1!$AD$45,Sheet1!$AF$45,Sheet1!$AH$45,Sheet1!$AJ$45,Sheet1!$AL$45,Sheet1!$AN$45,Sheet1!$AP$45,Sheet1!$AR$45</definedName>
    <definedName name="QB_FORMULA_12" localSheetId="1" hidden="1">Sheet1!$AT$45,Sheet1!$AV$45,Sheet1!$AX$45,Sheet1!$AZ$45,Sheet1!$BB$45,Sheet1!$BD$45,Sheet1!$BF$45,Sheet1!$BH$45,Sheet1!$BJ$45,Sheet1!$BL$45,Sheet1!$BN$45,Sheet1!$BP$45,Sheet1!$BR$45,Sheet1!$BT$45,Sheet1!$BV$45,Sheet1!$BX$45</definedName>
    <definedName name="QB_FORMULA_13" localSheetId="1" hidden="1">Sheet1!$BZ$45,Sheet1!$CB$45,Sheet1!$CD$45,Sheet1!$CF$45,Sheet1!$CH$45,Sheet1!$CJ$45,Sheet1!$CL$45,Sheet1!$CN$45,Sheet1!$CP$45,Sheet1!$CR$45,Sheet1!$CT$45,Sheet1!$CV$45,Sheet1!$CX$45,Sheet1!$CZ$45,Sheet1!$DB$45,Sheet1!$DD$45</definedName>
    <definedName name="QB_FORMULA_14" localSheetId="1" hidden="1">Sheet1!$DF$45,Sheet1!$DH$45,Sheet1!$DJ$45,Sheet1!$DL$45,Sheet1!$DN$45,Sheet1!$DP$45,Sheet1!$DR$45,Sheet1!$DT$45,Sheet1!$DV$45,Sheet1!$DX$45,Sheet1!$DZ$45,Sheet1!$EB$45,Sheet1!$ED$45,Sheet1!$EF$45,Sheet1!$EH$45,Sheet1!$EH$47</definedName>
    <definedName name="QB_FORMULA_15" localSheetId="1" hidden="1">Sheet1!$EH$48,Sheet1!$EH$49,Sheet1!$EH$50,Sheet1!$EH$51,Sheet1!$EH$52,Sheet1!$EH$53,Sheet1!$EH$54,Sheet1!$EH$55,Sheet1!$EH$56,Sheet1!$EH$57,Sheet1!$EH$58,Sheet1!$EH$59,Sheet1!$EH$60,Sheet1!$EH$61,Sheet1!$EH$62,Sheet1!$EH$63</definedName>
    <definedName name="QB_FORMULA_16" localSheetId="1" hidden="1">Sheet1!$EH$64,Sheet1!$EH$65,Sheet1!$EH$66,Sheet1!$EH$67,Sheet1!$EH$68,Sheet1!$EH$69,Sheet1!$EH$70,Sheet1!$EH$71,Sheet1!$EH$72,Sheet1!$EH$73,Sheet1!$EH$74,Sheet1!$EH$75,Sheet1!$EH$76,Sheet1!$EH$77,Sheet1!$EH$78,Sheet1!$EH$79</definedName>
    <definedName name="QB_FORMULA_17" localSheetId="1" hidden="1">Sheet1!$EH$80,Sheet1!$EH$81,Sheet1!$F$82,Sheet1!$H$82,Sheet1!$J$82,Sheet1!$L$82,Sheet1!$N$82,Sheet1!$P$82,Sheet1!$R$82,Sheet1!$T$82,Sheet1!$V$82,Sheet1!$X$82,Sheet1!$Z$82,Sheet1!$AB$82,Sheet1!$AD$82,Sheet1!$AF$82</definedName>
    <definedName name="QB_FORMULA_18" localSheetId="1" hidden="1">Sheet1!$AH$82,Sheet1!$AJ$82,Sheet1!$AL$82,Sheet1!$AN$82,Sheet1!$AP$82,Sheet1!$AR$82,Sheet1!$AT$82,Sheet1!$AV$82,Sheet1!$AX$82,Sheet1!$AZ$82,Sheet1!$BB$82,Sheet1!$BD$82,Sheet1!$BF$82,Sheet1!$BH$82,Sheet1!$BJ$82,Sheet1!$BL$82</definedName>
    <definedName name="QB_FORMULA_19" localSheetId="1" hidden="1">Sheet1!$BN$82,Sheet1!$BP$82,Sheet1!$BR$82,Sheet1!$BT$82,Sheet1!$BV$82,Sheet1!$BX$82,Sheet1!$BZ$82,Sheet1!$CB$82,Sheet1!$CD$82,Sheet1!$CF$82,Sheet1!$CH$82,Sheet1!$CJ$82,Sheet1!$CL$82,Sheet1!$CN$82,Sheet1!$CP$82,Sheet1!$CR$82</definedName>
    <definedName name="QB_FORMULA_2" localSheetId="1" hidden="1">Sheet1!$BB$12,Sheet1!$BD$12,Sheet1!$BF$12,Sheet1!$BH$12,Sheet1!$BJ$12,Sheet1!$BL$12,Sheet1!$BN$12,Sheet1!$BP$12,Sheet1!$BR$12,Sheet1!$BT$12,Sheet1!$BV$12,Sheet1!$BX$12,Sheet1!$BZ$12,Sheet1!$CB$12,Sheet1!$CD$12,Sheet1!$CF$12</definedName>
    <definedName name="QB_FORMULA_20" localSheetId="1" hidden="1">Sheet1!$CT$82,Sheet1!$CV$82,Sheet1!$CX$82,Sheet1!$CZ$82,Sheet1!$DB$82,Sheet1!$DD$82,Sheet1!$DF$82,Sheet1!$DH$82,Sheet1!$DJ$82,Sheet1!$DL$82,Sheet1!$DN$82,Sheet1!$DP$82,Sheet1!$DR$82,Sheet1!$DT$82,Sheet1!$DV$82,Sheet1!$DX$82</definedName>
    <definedName name="QB_FORMULA_21" localSheetId="1" hidden="1">Sheet1!$DZ$82,Sheet1!$EB$82,Sheet1!$ED$82,Sheet1!$EF$82,Sheet1!$EH$82,Sheet1!$F$83,Sheet1!$H$83,Sheet1!$J$83,Sheet1!$L$83,Sheet1!$N$83,Sheet1!$P$83,Sheet1!$R$83,Sheet1!$T$83,Sheet1!$V$83,Sheet1!$X$83,Sheet1!$Z$83</definedName>
    <definedName name="QB_FORMULA_22" localSheetId="1" hidden="1">Sheet1!$AB$83,Sheet1!$AD$83,Sheet1!$AF$83,Sheet1!$AH$83,Sheet1!$AJ$83,Sheet1!$AL$83,Sheet1!$AN$83,Sheet1!$AP$83,Sheet1!$AR$83,Sheet1!$AT$83,Sheet1!$AV$83,Sheet1!$AX$83,Sheet1!$AZ$83,Sheet1!$BB$83,Sheet1!$BD$83,Sheet1!$BF$83</definedName>
    <definedName name="QB_FORMULA_23" localSheetId="1" hidden="1">Sheet1!$BH$83,Sheet1!$BJ$83,Sheet1!$BL$83,Sheet1!$BN$83,Sheet1!$BP$83,Sheet1!$BR$83,Sheet1!$BT$83,Sheet1!$BV$83,Sheet1!$BX$83,Sheet1!$BZ$83,Sheet1!$CB$83,Sheet1!$CD$83,Sheet1!$CF$83,Sheet1!$CH$83,Sheet1!$CJ$83,Sheet1!$CL$83</definedName>
    <definedName name="QB_FORMULA_24" localSheetId="1" hidden="1">Sheet1!$CN$83,Sheet1!$CP$83,Sheet1!$CR$83,Sheet1!$CT$83,Sheet1!$CV$83,Sheet1!$CX$83,Sheet1!$CZ$83,Sheet1!$DB$83,Sheet1!$DD$83,Sheet1!$DF$83,Sheet1!$DH$83,Sheet1!$DJ$83,Sheet1!$DL$83,Sheet1!$DN$83,Sheet1!$DP$83,Sheet1!$DR$83</definedName>
    <definedName name="QB_FORMULA_25" localSheetId="1" hidden="1">Sheet1!$DT$83,Sheet1!$DV$83,Sheet1!$DX$83,Sheet1!$DZ$83,Sheet1!$EB$83,Sheet1!$ED$83,Sheet1!$EF$83,Sheet1!$EH$83,Sheet1!$EH$86,Sheet1!$EH$87,Sheet1!$EH$88,Sheet1!$EH$89,Sheet1!$F$90,Sheet1!$H$90,Sheet1!$J$90,Sheet1!$L$90</definedName>
    <definedName name="QB_FORMULA_26" localSheetId="1" hidden="1">Sheet1!$N$90,Sheet1!$P$90,Sheet1!$R$90,Sheet1!$T$90,Sheet1!$V$90,Sheet1!$X$90,Sheet1!$Z$90,Sheet1!$AB$90,Sheet1!$AD$90,Sheet1!$AF$90,Sheet1!$AH$90,Sheet1!$AJ$90,Sheet1!$AL$90,Sheet1!$AN$90,Sheet1!$AP$90,Sheet1!$AR$90</definedName>
    <definedName name="QB_FORMULA_27" localSheetId="1" hidden="1">Sheet1!$AT$90,Sheet1!$AV$90,Sheet1!$AX$90,Sheet1!$AZ$90,Sheet1!$BB$90,Sheet1!$BD$90,Sheet1!$BF$90,Sheet1!$BH$90,Sheet1!$BJ$90,Sheet1!$BL$90,Sheet1!$BN$90,Sheet1!$BP$90,Sheet1!$BR$90,Sheet1!$BT$90,Sheet1!$BV$90,Sheet1!$BX$90</definedName>
    <definedName name="QB_FORMULA_28" localSheetId="1" hidden="1">Sheet1!$BZ$90,Sheet1!$CB$90,Sheet1!$CD$90,Sheet1!$CF$90,Sheet1!$CH$90,Sheet1!$CJ$90,Sheet1!$CL$90,Sheet1!$CN$90,Sheet1!$CP$90,Sheet1!$CR$90,Sheet1!$CT$90,Sheet1!$CV$90,Sheet1!$CX$90,Sheet1!$CZ$90,Sheet1!$DB$90,Sheet1!$DD$90</definedName>
    <definedName name="QB_FORMULA_29" localSheetId="1" hidden="1">Sheet1!$DF$90,Sheet1!$DH$90,Sheet1!$DJ$90,Sheet1!$DL$90,Sheet1!$DN$90,Sheet1!$DP$90,Sheet1!$DR$90,Sheet1!$DT$90,Sheet1!$DV$90,Sheet1!$DX$90,Sheet1!$DZ$90,Sheet1!$EB$90,Sheet1!$ED$90,Sheet1!$EF$90,Sheet1!$EH$90,Sheet1!$EH$92</definedName>
    <definedName name="QB_FORMULA_3" localSheetId="1" hidden="1">Sheet1!$CH$12,Sheet1!$CJ$12,Sheet1!$CL$12,Sheet1!$CN$12,Sheet1!$CP$12,Sheet1!$CR$12,Sheet1!$CT$12,Sheet1!$CV$12,Sheet1!$CX$12,Sheet1!$CZ$12,Sheet1!$DB$12,Sheet1!$DD$12,Sheet1!$DF$12,Sheet1!$DH$12,Sheet1!$DJ$12,Sheet1!$DL$12</definedName>
    <definedName name="QB_FORMULA_30" localSheetId="1" hidden="1">Sheet1!$F$93,Sheet1!$H$93,Sheet1!$J$93,Sheet1!$L$93,Sheet1!$N$93,Sheet1!$P$93,Sheet1!$R$93,Sheet1!$T$93,Sheet1!$V$93,Sheet1!$X$93,Sheet1!$Z$93,Sheet1!$AB$93,Sheet1!$AD$93,Sheet1!$AF$93,Sheet1!$AH$93,Sheet1!$AJ$93</definedName>
    <definedName name="QB_FORMULA_31" localSheetId="1" hidden="1">Sheet1!$AL$93,Sheet1!$AN$93,Sheet1!$AP$93,Sheet1!$AR$93,Sheet1!$AT$93,Sheet1!$AV$93,Sheet1!$AX$93,Sheet1!$AZ$93,Sheet1!$BB$93,Sheet1!$BD$93,Sheet1!$BF$93,Sheet1!$BH$93,Sheet1!$BJ$93,Sheet1!$BL$93,Sheet1!$BN$93,Sheet1!$BP$93</definedName>
    <definedName name="QB_FORMULA_32" localSheetId="1" hidden="1">Sheet1!$BR$93,Sheet1!$BT$93,Sheet1!$BV$93,Sheet1!$BX$93,Sheet1!$BZ$93,Sheet1!$CB$93,Sheet1!$CD$93,Sheet1!$CF$93,Sheet1!$CH$93,Sheet1!$CJ$93,Sheet1!$CL$93,Sheet1!$CN$93,Sheet1!$CP$93,Sheet1!$CR$93,Sheet1!$CT$93,Sheet1!$CV$93</definedName>
    <definedName name="QB_FORMULA_33" localSheetId="1" hidden="1">Sheet1!$CX$93,Sheet1!$CZ$93,Sheet1!$DB$93,Sheet1!$DD$93,Sheet1!$DF$93,Sheet1!$DH$93,Sheet1!$DJ$93,Sheet1!$DL$93,Sheet1!$DN$93,Sheet1!$DP$93,Sheet1!$DR$93,Sheet1!$DT$93,Sheet1!$DV$93,Sheet1!$DX$93,Sheet1!$DZ$93,Sheet1!$EB$93</definedName>
    <definedName name="QB_FORMULA_34" localSheetId="1" hidden="1">Sheet1!$ED$93,Sheet1!$EF$93,Sheet1!$EH$93,Sheet1!$F$94,Sheet1!$H$94,Sheet1!$J$94,Sheet1!$L$94,Sheet1!$N$94,Sheet1!$P$94,Sheet1!$R$94,Sheet1!$T$94,Sheet1!$V$94,Sheet1!$X$94,Sheet1!$Z$94,Sheet1!$AB$94,Sheet1!$AD$94</definedName>
    <definedName name="QB_FORMULA_35" localSheetId="1" hidden="1">Sheet1!$AF$94,Sheet1!$AH$94,Sheet1!$AJ$94,Sheet1!$AL$94,Sheet1!$AN$94,Sheet1!$AP$94,Sheet1!$AR$94,Sheet1!$AT$94,Sheet1!$AV$94,Sheet1!$AX$94,Sheet1!$AZ$94,Sheet1!$BB$94,Sheet1!$BD$94,Sheet1!$BF$94,Sheet1!$BH$94,Sheet1!$BJ$94</definedName>
    <definedName name="QB_FORMULA_36" localSheetId="1" hidden="1">Sheet1!$BL$94,Sheet1!$BN$94,Sheet1!$BP$94,Sheet1!$BR$94,Sheet1!$BT$94,Sheet1!$BV$94,Sheet1!$BX$94,Sheet1!$BZ$94,Sheet1!$CB$94,Sheet1!$CD$94,Sheet1!$CF$94,Sheet1!$CH$94,Sheet1!$CJ$94,Sheet1!$CL$94,Sheet1!$CN$94,Sheet1!$CP$94</definedName>
    <definedName name="QB_FORMULA_37" localSheetId="1" hidden="1">Sheet1!$CR$94,Sheet1!$CT$94,Sheet1!$CV$94,Sheet1!$CX$94,Sheet1!$CZ$94,Sheet1!$DB$94,Sheet1!$DD$94,Sheet1!$DF$94,Sheet1!$DH$94,Sheet1!$DJ$94,Sheet1!$DL$94,Sheet1!$DN$94,Sheet1!$DP$94,Sheet1!$DR$94,Sheet1!$DT$94,Sheet1!$DV$94</definedName>
    <definedName name="QB_FORMULA_38" localSheetId="1" hidden="1">Sheet1!$DX$94,Sheet1!$DZ$94,Sheet1!$EB$94,Sheet1!$ED$94,Sheet1!$EF$94,Sheet1!$EH$94,Sheet1!$F$95,Sheet1!$H$95,Sheet1!$J$95,Sheet1!$L$95,Sheet1!$N$95,Sheet1!$P$95,Sheet1!$R$95,Sheet1!$T$95,Sheet1!$V$95,Sheet1!$X$95</definedName>
    <definedName name="QB_FORMULA_39" localSheetId="1" hidden="1">Sheet1!$Z$95,Sheet1!$AB$95,Sheet1!$AD$95,Sheet1!$AF$95,Sheet1!$AH$95,Sheet1!$AJ$95,Sheet1!$AL$95,Sheet1!$AN$95,Sheet1!$AP$95,Sheet1!$AR$95,Sheet1!$AT$95,Sheet1!$AV$95,Sheet1!$AX$95,Sheet1!$AZ$95,Sheet1!$BB$95,Sheet1!$BD$95</definedName>
    <definedName name="QB_FORMULA_4" localSheetId="1" hidden="1">Sheet1!$DN$12,Sheet1!$DP$12,Sheet1!$DR$12,Sheet1!$DT$12,Sheet1!$DV$12,Sheet1!$DX$12,Sheet1!$DZ$12,Sheet1!$EB$12,Sheet1!$ED$12,Sheet1!$EF$12,Sheet1!$EH$12,Sheet1!$EH$14,Sheet1!$EH$15,Sheet1!$EH$16,Sheet1!$EH$17,Sheet1!$EH$18</definedName>
    <definedName name="QB_FORMULA_40" localSheetId="1" hidden="1">Sheet1!$BF$95,Sheet1!$BH$95,Sheet1!$BJ$95,Sheet1!$BL$95,Sheet1!$BN$95,Sheet1!$BP$95,Sheet1!$BR$95,Sheet1!$BT$95,Sheet1!$BV$95,Sheet1!$BX$95,Sheet1!$BZ$95,Sheet1!$CB$95,Sheet1!$CD$95,Sheet1!$CF$95,Sheet1!$CH$95,Sheet1!$CJ$95</definedName>
    <definedName name="QB_FORMULA_41" localSheetId="1" hidden="1">Sheet1!$CL$95,Sheet1!$CN$95,Sheet1!$CP$95,Sheet1!$CR$95,Sheet1!$CT$95,Sheet1!$CV$95,Sheet1!$CX$95,Sheet1!$CZ$95,Sheet1!$DB$95,Sheet1!$DD$95,Sheet1!$DF$95,Sheet1!$DH$95,Sheet1!$DJ$95,Sheet1!$DL$95,Sheet1!$DN$95,Sheet1!$DP$95</definedName>
    <definedName name="QB_FORMULA_42" localSheetId="1" hidden="1">Sheet1!$DR$95,Sheet1!$DT$95,Sheet1!$DV$95,Sheet1!$DX$95,Sheet1!$DZ$95,Sheet1!$EB$95,Sheet1!$ED$95,Sheet1!$EF$95,Sheet1!$EH$95</definedName>
    <definedName name="QB_FORMULA_5" localSheetId="1" hidden="1">Sheet1!$EH$19,Sheet1!$EH$20,Sheet1!$EH$21,Sheet1!$EH$22,Sheet1!$EH$23,Sheet1!$EH$24,Sheet1!$EH$25,Sheet1!$EH$26,Sheet1!$EH$27,Sheet1!$EH$28,Sheet1!$EH$29,Sheet1!$EH$30,Sheet1!$EH$31,Sheet1!$EH$32,Sheet1!$EH$33,Sheet1!$EH$34</definedName>
    <definedName name="QB_FORMULA_6" localSheetId="1" hidden="1">Sheet1!$EH$35,Sheet1!$EH$36,Sheet1!$EH$37,Sheet1!$EH$38,Sheet1!$EH$39,Sheet1!$EH$40,Sheet1!$EH$41,Sheet1!$EH$42,Sheet1!$EH$43,Sheet1!$F$44,Sheet1!$H$44,Sheet1!$J$44,Sheet1!$L$44,Sheet1!$N$44,Sheet1!$P$44,Sheet1!$R$44</definedName>
    <definedName name="QB_FORMULA_7" localSheetId="1" hidden="1">Sheet1!$T$44,Sheet1!$V$44,Sheet1!$X$44,Sheet1!$Z$44,Sheet1!$AB$44,Sheet1!$AD$44,Sheet1!$AF$44,Sheet1!$AH$44,Sheet1!$AJ$44,Sheet1!$AL$44,Sheet1!$AN$44,Sheet1!$AP$44,Sheet1!$AR$44,Sheet1!$AT$44,Sheet1!$AV$44,Sheet1!$AX$44</definedName>
    <definedName name="QB_FORMULA_8" localSheetId="1" hidden="1">Sheet1!$AZ$44,Sheet1!$BB$44,Sheet1!$BD$44,Sheet1!$BF$44,Sheet1!$BH$44,Sheet1!$BJ$44,Sheet1!$BL$44,Sheet1!$BN$44,Sheet1!$BP$44,Sheet1!$BR$44,Sheet1!$BT$44,Sheet1!$BV$44,Sheet1!$BX$44,Sheet1!$BZ$44,Sheet1!$CB$44,Sheet1!$CD$44</definedName>
    <definedName name="QB_FORMULA_9" localSheetId="1" hidden="1">Sheet1!$CF$44,Sheet1!$CH$44,Sheet1!$CJ$44,Sheet1!$CL$44,Sheet1!$CN$44,Sheet1!$CP$44,Sheet1!$CR$44,Sheet1!$CT$44,Sheet1!$CV$44,Sheet1!$CX$44,Sheet1!$CZ$44,Sheet1!$DB$44,Sheet1!$DD$44,Sheet1!$DF$44,Sheet1!$DH$44,Sheet1!$DJ$44</definedName>
    <definedName name="QB_ROW_100240" localSheetId="1" hidden="1">Sheet1!$E$31</definedName>
    <definedName name="QB_ROW_101240" localSheetId="1" hidden="1">Sheet1!$E$32</definedName>
    <definedName name="QB_ROW_102240" localSheetId="1" hidden="1">Sheet1!$E$33</definedName>
    <definedName name="QB_ROW_10240" localSheetId="1" hidden="1">Sheet1!$E$79</definedName>
    <definedName name="QB_ROW_103240" localSheetId="1" hidden="1">Sheet1!$E$34</definedName>
    <definedName name="QB_ROW_104240" localSheetId="1" hidden="1">Sheet1!$E$35</definedName>
    <definedName name="QB_ROW_105240" localSheetId="1" hidden="1">Sheet1!$E$36</definedName>
    <definedName name="QB_ROW_106240" localSheetId="1" hidden="1">Sheet1!$E$37</definedName>
    <definedName name="QB_ROW_107240" localSheetId="1" hidden="1">Sheet1!$E$38</definedName>
    <definedName name="QB_ROW_108240" localSheetId="1" hidden="1">Sheet1!$E$39</definedName>
    <definedName name="QB_ROW_109240" localSheetId="1" hidden="1">Sheet1!$E$41</definedName>
    <definedName name="QB_ROW_110240" localSheetId="1" hidden="1">Sheet1!$E$42</definedName>
    <definedName name="QB_ROW_111240" localSheetId="1" hidden="1">Sheet1!$E$30</definedName>
    <definedName name="QB_ROW_112240" localSheetId="1" hidden="1">Sheet1!$E$40</definedName>
    <definedName name="QB_ROW_113240" localSheetId="1" hidden="1">Sheet1!$E$43</definedName>
    <definedName name="QB_ROW_114240" localSheetId="1" hidden="1">Sheet1!$E$28</definedName>
    <definedName name="QB_ROW_115240" localSheetId="1" hidden="1">Sheet1!$E$55</definedName>
    <definedName name="QB_ROW_116240" localSheetId="1" hidden="1">Sheet1!$E$56</definedName>
    <definedName name="QB_ROW_118240" localSheetId="1" hidden="1">Sheet1!$E$58</definedName>
    <definedName name="QB_ROW_119240" localSheetId="1" hidden="1">Sheet1!$E$59</definedName>
    <definedName name="QB_ROW_120240" localSheetId="1" hidden="1">Sheet1!$E$60</definedName>
    <definedName name="QB_ROW_121240" localSheetId="1" hidden="1">Sheet1!$E$61</definedName>
    <definedName name="QB_ROW_122240" localSheetId="1" hidden="1">Sheet1!$E$62</definedName>
    <definedName name="QB_ROW_124240" localSheetId="1" hidden="1">Sheet1!$E$63</definedName>
    <definedName name="QB_ROW_125240" localSheetId="1" hidden="1">Sheet1!$E$64</definedName>
    <definedName name="QB_ROW_126240" localSheetId="1" hidden="1">Sheet1!$E$65</definedName>
    <definedName name="QB_ROW_127240" localSheetId="1" hidden="1">Sheet1!$E$66</definedName>
    <definedName name="QB_ROW_128240" localSheetId="1" hidden="1">Sheet1!$E$67</definedName>
    <definedName name="QB_ROW_129240" localSheetId="1" hidden="1">Sheet1!$E$68</definedName>
    <definedName name="QB_ROW_130240" localSheetId="1" hidden="1">Sheet1!$E$69</definedName>
    <definedName name="QB_ROW_132240" localSheetId="1" hidden="1">Sheet1!$E$70</definedName>
    <definedName name="QB_ROW_133240" localSheetId="1" hidden="1">Sheet1!$E$71</definedName>
    <definedName name="QB_ROW_138240" localSheetId="1" hidden="1">Sheet1!$E$72</definedName>
    <definedName name="QB_ROW_139240" localSheetId="1" hidden="1">Sheet1!$E$73</definedName>
    <definedName name="QB_ROW_141240" localSheetId="1" hidden="1">Sheet1!$E$74</definedName>
    <definedName name="QB_ROW_142240" localSheetId="1" hidden="1">Sheet1!$E$75</definedName>
    <definedName name="QB_ROW_143240" localSheetId="1" hidden="1">Sheet1!$E$76</definedName>
    <definedName name="QB_ROW_144240" localSheetId="1" hidden="1">Sheet1!$E$77</definedName>
    <definedName name="QB_ROW_145240" localSheetId="1" hidden="1">Sheet1!$E$78</definedName>
    <definedName name="QB_ROW_147240" localSheetId="1" hidden="1">Sheet1!$E$81</definedName>
    <definedName name="QB_ROW_157240" localSheetId="1" hidden="1">Sheet1!$E$6</definedName>
    <definedName name="QB_ROW_158240" localSheetId="1" hidden="1">Sheet1!$E$7</definedName>
    <definedName name="QB_ROW_159240" localSheetId="1" hidden="1">Sheet1!$E$8</definedName>
    <definedName name="QB_ROW_162240" localSheetId="1" hidden="1">Sheet1!$E$49</definedName>
    <definedName name="QB_ROW_164240" localSheetId="1" hidden="1">Sheet1!$E$80</definedName>
    <definedName name="QB_ROW_168240" localSheetId="1" hidden="1">Sheet1!$E$11</definedName>
    <definedName name="QB_ROW_173240" localSheetId="1" hidden="1">Sheet1!$E$53</definedName>
    <definedName name="QB_ROW_175240" localSheetId="1" hidden="1">Sheet1!$E$4</definedName>
    <definedName name="QB_ROW_176240" localSheetId="1" hidden="1">Sheet1!$E$57</definedName>
    <definedName name="QB_ROW_179240" localSheetId="1" hidden="1">Sheet1!$E$50</definedName>
    <definedName name="QB_ROW_181240" localSheetId="1" hidden="1">Sheet1!$E$54</definedName>
    <definedName name="QB_ROW_18301" localSheetId="1" hidden="1">Sheet1!$A$95</definedName>
    <definedName name="QB_ROW_186240" localSheetId="1" hidden="1">Sheet1!$E$47</definedName>
    <definedName name="QB_ROW_187240" localSheetId="1" hidden="1">Sheet1!$E$24</definedName>
    <definedName name="QB_ROW_188230" localSheetId="1" hidden="1">Sheet1!$D$92</definedName>
    <definedName name="QB_ROW_189230" localSheetId="1" hidden="1">Sheet1!$D$87</definedName>
    <definedName name="QB_ROW_19011" localSheetId="1" hidden="1">Sheet1!$B$2</definedName>
    <definedName name="QB_ROW_191240" localSheetId="1" hidden="1">Sheet1!$E$51</definedName>
    <definedName name="QB_ROW_19240" localSheetId="1" hidden="1">Sheet1!$E$52</definedName>
    <definedName name="QB_ROW_19311" localSheetId="1" hidden="1">Sheet1!$B$83</definedName>
    <definedName name="QB_ROW_193240" localSheetId="1" hidden="1">Sheet1!$E$48</definedName>
    <definedName name="QB_ROW_194230" localSheetId="1" hidden="1">Sheet1!$D$86</definedName>
    <definedName name="QB_ROW_20031" localSheetId="1" hidden="1">Sheet1!$D$3</definedName>
    <definedName name="QB_ROW_20331" localSheetId="1" hidden="1">Sheet1!$D$12</definedName>
    <definedName name="QB_ROW_21031" localSheetId="1" hidden="1">Sheet1!$D$46</definedName>
    <definedName name="QB_ROW_21331" localSheetId="1" hidden="1">Sheet1!$D$82</definedName>
    <definedName name="QB_ROW_22011" localSheetId="1" hidden="1">Sheet1!$B$84</definedName>
    <definedName name="QB_ROW_22240" localSheetId="1" hidden="1">Sheet1!$E$14</definedName>
    <definedName name="QB_ROW_22311" localSheetId="1" hidden="1">Sheet1!$B$94</definedName>
    <definedName name="QB_ROW_23021" localSheetId="1" hidden="1">Sheet1!$C$85</definedName>
    <definedName name="QB_ROW_23321" localSheetId="1" hidden="1">Sheet1!$C$90</definedName>
    <definedName name="QB_ROW_24021" localSheetId="1" hidden="1">Sheet1!$C$91</definedName>
    <definedName name="QB_ROW_24321" localSheetId="1" hidden="1">Sheet1!$C$93</definedName>
    <definedName name="QB_ROW_76240" localSheetId="1" hidden="1">Sheet1!$E$5</definedName>
    <definedName name="QB_ROW_77240" localSheetId="1" hidden="1">Sheet1!$E$9</definedName>
    <definedName name="QB_ROW_78240" localSheetId="1" hidden="1">Sheet1!$E$10</definedName>
    <definedName name="QB_ROW_79230" localSheetId="1" hidden="1">Sheet1!$D$88</definedName>
    <definedName name="QB_ROW_81230" localSheetId="1" hidden="1">Sheet1!$D$89</definedName>
    <definedName name="QB_ROW_82240" localSheetId="1" hidden="1">Sheet1!$E$15</definedName>
    <definedName name="QB_ROW_83240" localSheetId="1" hidden="1">Sheet1!$E$16</definedName>
    <definedName name="QB_ROW_84240" localSheetId="1" hidden="1">Sheet1!$E$17</definedName>
    <definedName name="QB_ROW_85240" localSheetId="1" hidden="1">Sheet1!$E$18</definedName>
    <definedName name="QB_ROW_86240" localSheetId="1" hidden="1">Sheet1!$E$22</definedName>
    <definedName name="QB_ROW_86321" localSheetId="1" hidden="1">Sheet1!$C$45</definedName>
    <definedName name="QB_ROW_87031" localSheetId="1" hidden="1">Sheet1!$D$13</definedName>
    <definedName name="QB_ROW_87240" localSheetId="1" hidden="1">Sheet1!$E$19</definedName>
    <definedName name="QB_ROW_87331" localSheetId="1" hidden="1">Sheet1!$D$44</definedName>
    <definedName name="QB_ROW_88240" localSheetId="1" hidden="1">Sheet1!$E$20</definedName>
    <definedName name="QB_ROW_90240" localSheetId="1" hidden="1">Sheet1!$E$21</definedName>
    <definedName name="QB_ROW_92240" localSheetId="1" hidden="1">Sheet1!$E$23</definedName>
    <definedName name="QB_ROW_93240" localSheetId="1" hidden="1">Sheet1!$E$25</definedName>
    <definedName name="QB_ROW_94240" localSheetId="1" hidden="1">Sheet1!$E$26</definedName>
    <definedName name="QB_ROW_95240" localSheetId="1" hidden="1">Sheet1!$E$27</definedName>
    <definedName name="QB_ROW_99240" localSheetId="1" hidden="1">Sheet1!$E$29</definedName>
    <definedName name="QBCANSUPPORTUPDATE" localSheetId="1">TRUE</definedName>
    <definedName name="QBCOMPANYFILENAME" localSheetId="1">"I:\Lily Corp\Q - QuickBooks\2026\lily corporation.qbw"</definedName>
    <definedName name="QBENDDATE" localSheetId="1">20260630</definedName>
    <definedName name="QBHEADERSONSCREEN" localSheetId="1">FALSE</definedName>
    <definedName name="QBMETADATASIZE" localSheetId="1">6146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6</definedName>
    <definedName name="QBREPORTCOMPANYID" localSheetId="1">"9c30cc156c53401cb4c412b24b0ca112"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11</definedName>
    <definedName name="QBREPORTSUBCOLAXIS" localSheetId="1">0</definedName>
    <definedName name="QBREPORTTYPE" localSheetId="1">0</definedName>
    <definedName name="QBROWHEADERS" localSheetId="1">5</definedName>
    <definedName name="QBSTARTDATE" localSheetId="1">20210101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H95" i="1" l="1"/>
  <c r="EF95" i="1"/>
  <c r="ED95" i="1"/>
  <c r="EB95" i="1"/>
  <c r="DZ95" i="1"/>
  <c r="DX95" i="1"/>
  <c r="DV95" i="1"/>
  <c r="DT95" i="1"/>
  <c r="DR95" i="1"/>
  <c r="DP95" i="1"/>
  <c r="DN95" i="1"/>
  <c r="DL95" i="1"/>
  <c r="DJ95" i="1"/>
  <c r="DH95" i="1"/>
  <c r="DF95" i="1"/>
  <c r="DD95" i="1"/>
  <c r="DB95" i="1"/>
  <c r="CZ95" i="1"/>
  <c r="CX95" i="1"/>
  <c r="CV95" i="1"/>
  <c r="CT95" i="1"/>
  <c r="CR95" i="1"/>
  <c r="CP95" i="1"/>
  <c r="CN95" i="1"/>
  <c r="CL95" i="1"/>
  <c r="CJ95" i="1"/>
  <c r="CH95" i="1"/>
  <c r="CF95" i="1"/>
  <c r="CD95" i="1"/>
  <c r="CB95" i="1"/>
  <c r="BZ95" i="1"/>
  <c r="BX95" i="1"/>
  <c r="BV95" i="1"/>
  <c r="BT95" i="1"/>
  <c r="BR95" i="1"/>
  <c r="BP95" i="1"/>
  <c r="BN95" i="1"/>
  <c r="BL95" i="1"/>
  <c r="BJ95" i="1"/>
  <c r="BH95" i="1"/>
  <c r="BF95" i="1"/>
  <c r="BD95" i="1"/>
  <c r="BB95" i="1"/>
  <c r="AZ95" i="1"/>
  <c r="AX95" i="1"/>
  <c r="AV95" i="1"/>
  <c r="AT95" i="1"/>
  <c r="AR95" i="1"/>
  <c r="AP95" i="1"/>
  <c r="AN95" i="1"/>
  <c r="AL95" i="1"/>
  <c r="AJ95" i="1"/>
  <c r="AH95" i="1"/>
  <c r="AF95" i="1"/>
  <c r="AD95" i="1"/>
  <c r="AB95" i="1"/>
  <c r="Z95" i="1"/>
  <c r="X95" i="1"/>
  <c r="V95" i="1"/>
  <c r="T95" i="1"/>
  <c r="R95" i="1"/>
  <c r="P95" i="1"/>
  <c r="N95" i="1"/>
  <c r="L95" i="1"/>
  <c r="J95" i="1"/>
  <c r="H95" i="1"/>
  <c r="F95" i="1"/>
  <c r="EH94" i="1"/>
  <c r="EF94" i="1"/>
  <c r="ED94" i="1"/>
  <c r="EB94" i="1"/>
  <c r="DZ94" i="1"/>
  <c r="DX94" i="1"/>
  <c r="DV94" i="1"/>
  <c r="DT94" i="1"/>
  <c r="DR94" i="1"/>
  <c r="DP94" i="1"/>
  <c r="DN94" i="1"/>
  <c r="DL94" i="1"/>
  <c r="DJ94" i="1"/>
  <c r="DH94" i="1"/>
  <c r="DF94" i="1"/>
  <c r="DD94" i="1"/>
  <c r="DB94" i="1"/>
  <c r="CZ94" i="1"/>
  <c r="CX94" i="1"/>
  <c r="CV94" i="1"/>
  <c r="CT94" i="1"/>
  <c r="CR94" i="1"/>
  <c r="CP94" i="1"/>
  <c r="CN94" i="1"/>
  <c r="CL94" i="1"/>
  <c r="CJ94" i="1"/>
  <c r="CH94" i="1"/>
  <c r="CF94" i="1"/>
  <c r="CD94" i="1"/>
  <c r="CB94" i="1"/>
  <c r="BZ94" i="1"/>
  <c r="BX94" i="1"/>
  <c r="BV94" i="1"/>
  <c r="BT94" i="1"/>
  <c r="BR94" i="1"/>
  <c r="BP94" i="1"/>
  <c r="BN94" i="1"/>
  <c r="BL94" i="1"/>
  <c r="BJ94" i="1"/>
  <c r="BH94" i="1"/>
  <c r="BF94" i="1"/>
  <c r="BD94" i="1"/>
  <c r="BB94" i="1"/>
  <c r="AZ94" i="1"/>
  <c r="AX94" i="1"/>
  <c r="AV94" i="1"/>
  <c r="AT94" i="1"/>
  <c r="AR94" i="1"/>
  <c r="AP94" i="1"/>
  <c r="AN94" i="1"/>
  <c r="AL94" i="1"/>
  <c r="AJ94" i="1"/>
  <c r="AH94" i="1"/>
  <c r="AF94" i="1"/>
  <c r="AD94" i="1"/>
  <c r="AB94" i="1"/>
  <c r="Z94" i="1"/>
  <c r="X94" i="1"/>
  <c r="V94" i="1"/>
  <c r="T94" i="1"/>
  <c r="R94" i="1"/>
  <c r="P94" i="1"/>
  <c r="N94" i="1"/>
  <c r="L94" i="1"/>
  <c r="J94" i="1"/>
  <c r="H94" i="1"/>
  <c r="F94" i="1"/>
  <c r="EH93" i="1"/>
  <c r="EF93" i="1"/>
  <c r="ED93" i="1"/>
  <c r="EB93" i="1"/>
  <c r="DZ93" i="1"/>
  <c r="DX93" i="1"/>
  <c r="DV93" i="1"/>
  <c r="DT93" i="1"/>
  <c r="DR93" i="1"/>
  <c r="DP93" i="1"/>
  <c r="DN93" i="1"/>
  <c r="DL93" i="1"/>
  <c r="DJ93" i="1"/>
  <c r="DH93" i="1"/>
  <c r="DF93" i="1"/>
  <c r="DD93" i="1"/>
  <c r="DB93" i="1"/>
  <c r="CZ93" i="1"/>
  <c r="CX93" i="1"/>
  <c r="CV93" i="1"/>
  <c r="CT93" i="1"/>
  <c r="CR93" i="1"/>
  <c r="CP93" i="1"/>
  <c r="CN93" i="1"/>
  <c r="CL93" i="1"/>
  <c r="CJ93" i="1"/>
  <c r="CH93" i="1"/>
  <c r="CF93" i="1"/>
  <c r="CD93" i="1"/>
  <c r="CB93" i="1"/>
  <c r="BZ93" i="1"/>
  <c r="BX93" i="1"/>
  <c r="BV93" i="1"/>
  <c r="BT93" i="1"/>
  <c r="BR93" i="1"/>
  <c r="BP93" i="1"/>
  <c r="BN93" i="1"/>
  <c r="BL93" i="1"/>
  <c r="BJ93" i="1"/>
  <c r="BH93" i="1"/>
  <c r="BF93" i="1"/>
  <c r="BD93" i="1"/>
  <c r="BB93" i="1"/>
  <c r="AZ93" i="1"/>
  <c r="AX93" i="1"/>
  <c r="AV93" i="1"/>
  <c r="AT93" i="1"/>
  <c r="AR93" i="1"/>
  <c r="AP93" i="1"/>
  <c r="AN93" i="1"/>
  <c r="AL93" i="1"/>
  <c r="AJ93" i="1"/>
  <c r="AH93" i="1"/>
  <c r="AF93" i="1"/>
  <c r="AD93" i="1"/>
  <c r="AB93" i="1"/>
  <c r="Z93" i="1"/>
  <c r="X93" i="1"/>
  <c r="V93" i="1"/>
  <c r="T93" i="1"/>
  <c r="R93" i="1"/>
  <c r="P93" i="1"/>
  <c r="N93" i="1"/>
  <c r="L93" i="1"/>
  <c r="J93" i="1"/>
  <c r="H93" i="1"/>
  <c r="F93" i="1"/>
  <c r="EH92" i="1"/>
  <c r="EH90" i="1"/>
  <c r="EF90" i="1"/>
  <c r="ED90" i="1"/>
  <c r="EB90" i="1"/>
  <c r="DZ90" i="1"/>
  <c r="DX90" i="1"/>
  <c r="DV90" i="1"/>
  <c r="DT90" i="1"/>
  <c r="DR90" i="1"/>
  <c r="DP90" i="1"/>
  <c r="DN90" i="1"/>
  <c r="DL90" i="1"/>
  <c r="DJ90" i="1"/>
  <c r="DH90" i="1"/>
  <c r="DF90" i="1"/>
  <c r="DD90" i="1"/>
  <c r="DB90" i="1"/>
  <c r="CZ90" i="1"/>
  <c r="CX90" i="1"/>
  <c r="CV90" i="1"/>
  <c r="CT90" i="1"/>
  <c r="CR90" i="1"/>
  <c r="CP90" i="1"/>
  <c r="CN90" i="1"/>
  <c r="CL90" i="1"/>
  <c r="CJ90" i="1"/>
  <c r="CH90" i="1"/>
  <c r="CF90" i="1"/>
  <c r="CD90" i="1"/>
  <c r="CB90" i="1"/>
  <c r="BZ90" i="1"/>
  <c r="BX90" i="1"/>
  <c r="BV90" i="1"/>
  <c r="BT90" i="1"/>
  <c r="BR90" i="1"/>
  <c r="BP90" i="1"/>
  <c r="BN90" i="1"/>
  <c r="BL90" i="1"/>
  <c r="BJ90" i="1"/>
  <c r="BH90" i="1"/>
  <c r="BF90" i="1"/>
  <c r="BD90" i="1"/>
  <c r="BB90" i="1"/>
  <c r="AZ90" i="1"/>
  <c r="AX90" i="1"/>
  <c r="AV90" i="1"/>
  <c r="AT90" i="1"/>
  <c r="AR90" i="1"/>
  <c r="AP90" i="1"/>
  <c r="AN90" i="1"/>
  <c r="AL90" i="1"/>
  <c r="AJ90" i="1"/>
  <c r="AH90" i="1"/>
  <c r="AF90" i="1"/>
  <c r="AD90" i="1"/>
  <c r="AB90" i="1"/>
  <c r="Z90" i="1"/>
  <c r="X90" i="1"/>
  <c r="V90" i="1"/>
  <c r="T90" i="1"/>
  <c r="R90" i="1"/>
  <c r="P90" i="1"/>
  <c r="N90" i="1"/>
  <c r="L90" i="1"/>
  <c r="J90" i="1"/>
  <c r="H90" i="1"/>
  <c r="F90" i="1"/>
  <c r="EH89" i="1"/>
  <c r="EH88" i="1"/>
  <c r="EH87" i="1"/>
  <c r="EH86" i="1"/>
  <c r="EH83" i="1"/>
  <c r="EF83" i="1"/>
  <c r="ED83" i="1"/>
  <c r="EB83" i="1"/>
  <c r="DZ83" i="1"/>
  <c r="DX83" i="1"/>
  <c r="DV83" i="1"/>
  <c r="DT83" i="1"/>
  <c r="DR83" i="1"/>
  <c r="DP83" i="1"/>
  <c r="DN83" i="1"/>
  <c r="DL83" i="1"/>
  <c r="DJ83" i="1"/>
  <c r="DH83" i="1"/>
  <c r="DF83" i="1"/>
  <c r="DD83" i="1"/>
  <c r="DB83" i="1"/>
  <c r="CZ83" i="1"/>
  <c r="CX83" i="1"/>
  <c r="CV83" i="1"/>
  <c r="CT83" i="1"/>
  <c r="CR83" i="1"/>
  <c r="CP83" i="1"/>
  <c r="CN83" i="1"/>
  <c r="CL83" i="1"/>
  <c r="CJ83" i="1"/>
  <c r="CH83" i="1"/>
  <c r="CF83" i="1"/>
  <c r="CD83" i="1"/>
  <c r="CB83" i="1"/>
  <c r="BZ83" i="1"/>
  <c r="BX83" i="1"/>
  <c r="BV83" i="1"/>
  <c r="BT83" i="1"/>
  <c r="BR83" i="1"/>
  <c r="BP83" i="1"/>
  <c r="BN83" i="1"/>
  <c r="BL83" i="1"/>
  <c r="BJ83" i="1"/>
  <c r="BH83" i="1"/>
  <c r="BF83" i="1"/>
  <c r="BD83" i="1"/>
  <c r="BB83" i="1"/>
  <c r="AZ83" i="1"/>
  <c r="AX83" i="1"/>
  <c r="AV83" i="1"/>
  <c r="AT83" i="1"/>
  <c r="AR83" i="1"/>
  <c r="AP83" i="1"/>
  <c r="AN83" i="1"/>
  <c r="AL83" i="1"/>
  <c r="AJ83" i="1"/>
  <c r="AH83" i="1"/>
  <c r="AF83" i="1"/>
  <c r="AD83" i="1"/>
  <c r="AB83" i="1"/>
  <c r="Z83" i="1"/>
  <c r="X83" i="1"/>
  <c r="V83" i="1"/>
  <c r="T83" i="1"/>
  <c r="R83" i="1"/>
  <c r="P83" i="1"/>
  <c r="N83" i="1"/>
  <c r="L83" i="1"/>
  <c r="J83" i="1"/>
  <c r="H83" i="1"/>
  <c r="F83" i="1"/>
  <c r="EH82" i="1"/>
  <c r="EF82" i="1"/>
  <c r="ED82" i="1"/>
  <c r="EB82" i="1"/>
  <c r="DZ82" i="1"/>
  <c r="DX82" i="1"/>
  <c r="DV82" i="1"/>
  <c r="DT82" i="1"/>
  <c r="DR82" i="1"/>
  <c r="DP82" i="1"/>
  <c r="DN82" i="1"/>
  <c r="DL82" i="1"/>
  <c r="DJ82" i="1"/>
  <c r="DH82" i="1"/>
  <c r="DF82" i="1"/>
  <c r="DD82" i="1"/>
  <c r="DB82" i="1"/>
  <c r="CZ82" i="1"/>
  <c r="CX82" i="1"/>
  <c r="CV82" i="1"/>
  <c r="CT82" i="1"/>
  <c r="CR82" i="1"/>
  <c r="CP82" i="1"/>
  <c r="CN82" i="1"/>
  <c r="CL82" i="1"/>
  <c r="CJ82" i="1"/>
  <c r="CH82" i="1"/>
  <c r="CF82" i="1"/>
  <c r="CD82" i="1"/>
  <c r="CB82" i="1"/>
  <c r="BZ82" i="1"/>
  <c r="BX82" i="1"/>
  <c r="BV82" i="1"/>
  <c r="BT82" i="1"/>
  <c r="BR82" i="1"/>
  <c r="BP82" i="1"/>
  <c r="BN82" i="1"/>
  <c r="BL82" i="1"/>
  <c r="BJ82" i="1"/>
  <c r="BH82" i="1"/>
  <c r="BF82" i="1"/>
  <c r="BD82" i="1"/>
  <c r="BB82" i="1"/>
  <c r="AZ82" i="1"/>
  <c r="AX82" i="1"/>
  <c r="AV82" i="1"/>
  <c r="AT82" i="1"/>
  <c r="AR82" i="1"/>
  <c r="AP82" i="1"/>
  <c r="AN82" i="1"/>
  <c r="AL82" i="1"/>
  <c r="AJ82" i="1"/>
  <c r="AH82" i="1"/>
  <c r="AF82" i="1"/>
  <c r="AD82" i="1"/>
  <c r="AB82" i="1"/>
  <c r="Z82" i="1"/>
  <c r="X82" i="1"/>
  <c r="V82" i="1"/>
  <c r="T82" i="1"/>
  <c r="R82" i="1"/>
  <c r="P82" i="1"/>
  <c r="N82" i="1"/>
  <c r="L82" i="1"/>
  <c r="J82" i="1"/>
  <c r="H82" i="1"/>
  <c r="F82" i="1"/>
  <c r="EH81" i="1"/>
  <c r="EH80" i="1"/>
  <c r="EH79" i="1"/>
  <c r="EH78" i="1"/>
  <c r="EH77" i="1"/>
  <c r="EH76" i="1"/>
  <c r="EH75" i="1"/>
  <c r="EH74" i="1"/>
  <c r="EH73" i="1"/>
  <c r="EH72" i="1"/>
  <c r="EH71" i="1"/>
  <c r="EH70" i="1"/>
  <c r="EH69" i="1"/>
  <c r="EH68" i="1"/>
  <c r="EH67" i="1"/>
  <c r="EH66" i="1"/>
  <c r="EH65" i="1"/>
  <c r="EH64" i="1"/>
  <c r="EH63" i="1"/>
  <c r="EH62" i="1"/>
  <c r="EH61" i="1"/>
  <c r="EH60" i="1"/>
  <c r="EH59" i="1"/>
  <c r="EH58" i="1"/>
  <c r="EH57" i="1"/>
  <c r="EH56" i="1"/>
  <c r="EH55" i="1"/>
  <c r="EH54" i="1"/>
  <c r="EH53" i="1"/>
  <c r="EH52" i="1"/>
  <c r="EH51" i="1"/>
  <c r="EH50" i="1"/>
  <c r="EH49" i="1"/>
  <c r="EH48" i="1"/>
  <c r="EH47" i="1"/>
  <c r="EH45" i="1"/>
  <c r="EF45" i="1"/>
  <c r="ED45" i="1"/>
  <c r="EB45" i="1"/>
  <c r="DZ45" i="1"/>
  <c r="DX45" i="1"/>
  <c r="DV45" i="1"/>
  <c r="DT45" i="1"/>
  <c r="DR45" i="1"/>
  <c r="DP45" i="1"/>
  <c r="DN45" i="1"/>
  <c r="DL45" i="1"/>
  <c r="DJ45" i="1"/>
  <c r="DH45" i="1"/>
  <c r="DF45" i="1"/>
  <c r="DD45" i="1"/>
  <c r="DB45" i="1"/>
  <c r="CZ45" i="1"/>
  <c r="CX45" i="1"/>
  <c r="CV45" i="1"/>
  <c r="CT45" i="1"/>
  <c r="CR45" i="1"/>
  <c r="CP45" i="1"/>
  <c r="CN45" i="1"/>
  <c r="CL45" i="1"/>
  <c r="CJ45" i="1"/>
  <c r="CH45" i="1"/>
  <c r="CF45" i="1"/>
  <c r="CD45" i="1"/>
  <c r="CB45" i="1"/>
  <c r="BZ45" i="1"/>
  <c r="BX45" i="1"/>
  <c r="BV45" i="1"/>
  <c r="BT45" i="1"/>
  <c r="BR45" i="1"/>
  <c r="BP45" i="1"/>
  <c r="BN45" i="1"/>
  <c r="BL45" i="1"/>
  <c r="BJ45" i="1"/>
  <c r="BH45" i="1"/>
  <c r="BF45" i="1"/>
  <c r="BD45" i="1"/>
  <c r="BB45" i="1"/>
  <c r="AZ45" i="1"/>
  <c r="AX45" i="1"/>
  <c r="AV45" i="1"/>
  <c r="AT45" i="1"/>
  <c r="AR45" i="1"/>
  <c r="AP45" i="1"/>
  <c r="AN45" i="1"/>
  <c r="AL45" i="1"/>
  <c r="AJ45" i="1"/>
  <c r="AH45" i="1"/>
  <c r="AF45" i="1"/>
  <c r="AD45" i="1"/>
  <c r="AB45" i="1"/>
  <c r="Z45" i="1"/>
  <c r="X45" i="1"/>
  <c r="V45" i="1"/>
  <c r="T45" i="1"/>
  <c r="R45" i="1"/>
  <c r="P45" i="1"/>
  <c r="N45" i="1"/>
  <c r="L45" i="1"/>
  <c r="J45" i="1"/>
  <c r="H45" i="1"/>
  <c r="F45" i="1"/>
  <c r="EH44" i="1"/>
  <c r="EF44" i="1"/>
  <c r="ED44" i="1"/>
  <c r="EB44" i="1"/>
  <c r="DZ44" i="1"/>
  <c r="DX44" i="1"/>
  <c r="DV44" i="1"/>
  <c r="DT44" i="1"/>
  <c r="DR44" i="1"/>
  <c r="DP44" i="1"/>
  <c r="DN44" i="1"/>
  <c r="DL44" i="1"/>
  <c r="DJ44" i="1"/>
  <c r="DH44" i="1"/>
  <c r="DF44" i="1"/>
  <c r="DD44" i="1"/>
  <c r="DB44" i="1"/>
  <c r="CZ44" i="1"/>
  <c r="CX44" i="1"/>
  <c r="CV44" i="1"/>
  <c r="CT44" i="1"/>
  <c r="CR44" i="1"/>
  <c r="CP44" i="1"/>
  <c r="CN44" i="1"/>
  <c r="CL44" i="1"/>
  <c r="CJ44" i="1"/>
  <c r="CH44" i="1"/>
  <c r="CF44" i="1"/>
  <c r="CD44" i="1"/>
  <c r="CB44" i="1"/>
  <c r="BZ44" i="1"/>
  <c r="BX44" i="1"/>
  <c r="BV44" i="1"/>
  <c r="BT44" i="1"/>
  <c r="BR44" i="1"/>
  <c r="BP44" i="1"/>
  <c r="BN44" i="1"/>
  <c r="BL44" i="1"/>
  <c r="BJ44" i="1"/>
  <c r="BH44" i="1"/>
  <c r="BF44" i="1"/>
  <c r="BD44" i="1"/>
  <c r="BB44" i="1"/>
  <c r="AZ44" i="1"/>
  <c r="AX44" i="1"/>
  <c r="AV44" i="1"/>
  <c r="AT44" i="1"/>
  <c r="AR44" i="1"/>
  <c r="AP44" i="1"/>
  <c r="AN44" i="1"/>
  <c r="AL44" i="1"/>
  <c r="AJ44" i="1"/>
  <c r="AH44" i="1"/>
  <c r="AF44" i="1"/>
  <c r="AD44" i="1"/>
  <c r="AB44" i="1"/>
  <c r="Z44" i="1"/>
  <c r="X44" i="1"/>
  <c r="V44" i="1"/>
  <c r="T44" i="1"/>
  <c r="R44" i="1"/>
  <c r="P44" i="1"/>
  <c r="N44" i="1"/>
  <c r="L44" i="1"/>
  <c r="J44" i="1"/>
  <c r="H44" i="1"/>
  <c r="F44" i="1"/>
  <c r="EH43" i="1"/>
  <c r="EH42" i="1"/>
  <c r="EH41" i="1"/>
  <c r="EH40" i="1"/>
  <c r="EH39" i="1"/>
  <c r="EH38" i="1"/>
  <c r="EH37" i="1"/>
  <c r="EH36" i="1"/>
  <c r="EH35" i="1"/>
  <c r="EH34" i="1"/>
  <c r="EH33" i="1"/>
  <c r="EH32" i="1"/>
  <c r="EH31" i="1"/>
  <c r="EH30" i="1"/>
  <c r="EH29" i="1"/>
  <c r="EH28" i="1"/>
  <c r="EH27" i="1"/>
  <c r="EH26" i="1"/>
  <c r="EH25" i="1"/>
  <c r="EH24" i="1"/>
  <c r="EH23" i="1"/>
  <c r="EH22" i="1"/>
  <c r="EH21" i="1"/>
  <c r="EH20" i="1"/>
  <c r="EH19" i="1"/>
  <c r="EH18" i="1"/>
  <c r="EH17" i="1"/>
  <c r="EH16" i="1"/>
  <c r="EH15" i="1"/>
  <c r="EH14" i="1"/>
  <c r="EH12" i="1"/>
  <c r="EF12" i="1"/>
  <c r="ED12" i="1"/>
  <c r="EB12" i="1"/>
  <c r="DZ12" i="1"/>
  <c r="DX12" i="1"/>
  <c r="DV12" i="1"/>
  <c r="DT12" i="1"/>
  <c r="DR12" i="1"/>
  <c r="DP12" i="1"/>
  <c r="DN12" i="1"/>
  <c r="DL12" i="1"/>
  <c r="DJ12" i="1"/>
  <c r="DH12" i="1"/>
  <c r="DF12" i="1"/>
  <c r="DD12" i="1"/>
  <c r="DB12" i="1"/>
  <c r="CZ12" i="1"/>
  <c r="CX12" i="1"/>
  <c r="CV12" i="1"/>
  <c r="CT12" i="1"/>
  <c r="CR12" i="1"/>
  <c r="CP12" i="1"/>
  <c r="CN12" i="1"/>
  <c r="CL12" i="1"/>
  <c r="CJ12" i="1"/>
  <c r="CH12" i="1"/>
  <c r="CF12" i="1"/>
  <c r="CD12" i="1"/>
  <c r="CB12" i="1"/>
  <c r="BZ12" i="1"/>
  <c r="BX12" i="1"/>
  <c r="BV12" i="1"/>
  <c r="BT12" i="1"/>
  <c r="BR12" i="1"/>
  <c r="BP12" i="1"/>
  <c r="BN12" i="1"/>
  <c r="BL12" i="1"/>
  <c r="BJ12" i="1"/>
  <c r="BH12" i="1"/>
  <c r="BF12" i="1"/>
  <c r="BD12" i="1"/>
  <c r="BB12" i="1"/>
  <c r="AZ12" i="1"/>
  <c r="AX12" i="1"/>
  <c r="AV12" i="1"/>
  <c r="AT12" i="1"/>
  <c r="AR12" i="1"/>
  <c r="AP12" i="1"/>
  <c r="AN12" i="1"/>
  <c r="AL12" i="1"/>
  <c r="AJ12" i="1"/>
  <c r="AH12" i="1"/>
  <c r="AF12" i="1"/>
  <c r="AD12" i="1"/>
  <c r="AB12" i="1"/>
  <c r="Z12" i="1"/>
  <c r="X12" i="1"/>
  <c r="V12" i="1"/>
  <c r="T12" i="1"/>
  <c r="R12" i="1"/>
  <c r="P12" i="1"/>
  <c r="N12" i="1"/>
  <c r="L12" i="1"/>
  <c r="J12" i="1"/>
  <c r="H12" i="1"/>
  <c r="F12" i="1"/>
  <c r="EH11" i="1"/>
  <c r="EH10" i="1"/>
  <c r="EH9" i="1"/>
  <c r="EH8" i="1"/>
  <c r="EH7" i="1"/>
  <c r="EH6" i="1"/>
  <c r="EH5" i="1"/>
  <c r="EH4" i="1"/>
</calcChain>
</file>

<file path=xl/sharedStrings.xml><?xml version="1.0" encoding="utf-8"?>
<sst xmlns="http://schemas.openxmlformats.org/spreadsheetml/2006/main" count="161" uniqueCount="161">
  <si>
    <t>Jan 21</t>
  </si>
  <si>
    <t>Feb 21</t>
  </si>
  <si>
    <t>Mar 21</t>
  </si>
  <si>
    <t>Apr 21</t>
  </si>
  <si>
    <t>May 21</t>
  </si>
  <si>
    <t>Jun 21</t>
  </si>
  <si>
    <t>Jul 21</t>
  </si>
  <si>
    <t>Aug 21</t>
  </si>
  <si>
    <t>Sep 21</t>
  </si>
  <si>
    <t>Oct 21</t>
  </si>
  <si>
    <t>Nov 21</t>
  </si>
  <si>
    <t>Dec 21</t>
  </si>
  <si>
    <t>Jan 22</t>
  </si>
  <si>
    <t>Feb 22</t>
  </si>
  <si>
    <t>Mar 22</t>
  </si>
  <si>
    <t>Apr 22</t>
  </si>
  <si>
    <t>May 22</t>
  </si>
  <si>
    <t>Jun 22</t>
  </si>
  <si>
    <t>Jul 22</t>
  </si>
  <si>
    <t>Aug 22</t>
  </si>
  <si>
    <t>Sep 22</t>
  </si>
  <si>
    <t>Oct 22</t>
  </si>
  <si>
    <t>Nov 22</t>
  </si>
  <si>
    <t>Dec 22</t>
  </si>
  <si>
    <t>Jan 23</t>
  </si>
  <si>
    <t>Feb 23</t>
  </si>
  <si>
    <t>Mar 23</t>
  </si>
  <si>
    <t>Apr 23</t>
  </si>
  <si>
    <t>May 23</t>
  </si>
  <si>
    <t>Jun 23</t>
  </si>
  <si>
    <t>Jul 23</t>
  </si>
  <si>
    <t>Aug 23</t>
  </si>
  <si>
    <t>Sep 23</t>
  </si>
  <si>
    <t>Oct 23</t>
  </si>
  <si>
    <t>Nov 23</t>
  </si>
  <si>
    <t>Dec 23</t>
  </si>
  <si>
    <t>Jan 24</t>
  </si>
  <si>
    <t>Feb 24</t>
  </si>
  <si>
    <t>Mar 24</t>
  </si>
  <si>
    <t>Apr 24</t>
  </si>
  <si>
    <t>May 24</t>
  </si>
  <si>
    <t>Jun 24</t>
  </si>
  <si>
    <t>Jul 24</t>
  </si>
  <si>
    <t>Aug 24</t>
  </si>
  <si>
    <t>Sep 24</t>
  </si>
  <si>
    <t>Oct 24</t>
  </si>
  <si>
    <t>Nov 24</t>
  </si>
  <si>
    <t>Dec 24</t>
  </si>
  <si>
    <t>Jan 25</t>
  </si>
  <si>
    <t>Feb 25</t>
  </si>
  <si>
    <t>Mar 25</t>
  </si>
  <si>
    <t>Apr 25</t>
  </si>
  <si>
    <t>May 25</t>
  </si>
  <si>
    <t>Jun 25</t>
  </si>
  <si>
    <t>Jul 25</t>
  </si>
  <si>
    <t>Aug 25</t>
  </si>
  <si>
    <t>Sep 25</t>
  </si>
  <si>
    <t>Oct 25</t>
  </si>
  <si>
    <t>Nov 25</t>
  </si>
  <si>
    <t>Dec 25</t>
  </si>
  <si>
    <t>Jan 26</t>
  </si>
  <si>
    <t>Feb 26</t>
  </si>
  <si>
    <t>Mar 26</t>
  </si>
  <si>
    <t>Apr 26</t>
  </si>
  <si>
    <t>May 26</t>
  </si>
  <si>
    <t>Jun 26</t>
  </si>
  <si>
    <t>TOTAL</t>
  </si>
  <si>
    <t>Ordinary Income/Expense</t>
  </si>
  <si>
    <t>Income</t>
  </si>
  <si>
    <t>Shipping Income</t>
  </si>
  <si>
    <t>4010 · Sales</t>
  </si>
  <si>
    <t>4011 · Service Labor</t>
  </si>
  <si>
    <t>4012 · Training Income</t>
  </si>
  <si>
    <t>4013 · Travel Reimbursables</t>
  </si>
  <si>
    <t>4015 · Rental Income</t>
  </si>
  <si>
    <t>4140 · Discounts &amp; Allowances</t>
  </si>
  <si>
    <t>4142 · CREDIT - RENT/TRAINING</t>
  </si>
  <si>
    <t>Total Income</t>
  </si>
  <si>
    <t>Cost of Goods Sold</t>
  </si>
  <si>
    <t>5000 · Cost of Goods Sold</t>
  </si>
  <si>
    <t>5110 · Purchases - Parts</t>
  </si>
  <si>
    <t>5120 · Purchases - Accessories</t>
  </si>
  <si>
    <t>5130 · Purchases - Other</t>
  </si>
  <si>
    <t>5135 · Sublet Labor</t>
  </si>
  <si>
    <t>5210 · Direct Labor - Manufacturing</t>
  </si>
  <si>
    <t>5310 · Automotive Expense</t>
  </si>
  <si>
    <t>5330 · Depreciation</t>
  </si>
  <si>
    <t>5339 · Freight In</t>
  </si>
  <si>
    <t>5340 · Freight Out</t>
  </si>
  <si>
    <t>5345 · Inventory Adjustment</t>
  </si>
  <si>
    <t>5350 · Insurance - General</t>
  </si>
  <si>
    <t>5360 · Insurance - Employee Medical</t>
  </si>
  <si>
    <t>5370 · Insurance - Workmens Comp.</t>
  </si>
  <si>
    <t>5375 · Miscellaneous Expense</t>
  </si>
  <si>
    <t>5410 · Property Taxes</t>
  </si>
  <si>
    <t>5415 · Rent</t>
  </si>
  <si>
    <t>5420 · Repairs &amp; Maintenance - Bldg.</t>
  </si>
  <si>
    <t>5440 · Repairs &amp; Maintenance - Molds</t>
  </si>
  <si>
    <t>5450 · Repairs &amp; Maintenance - Equip</t>
  </si>
  <si>
    <t>5460 · Research And Development</t>
  </si>
  <si>
    <t>5470 · Sales Tax</t>
  </si>
  <si>
    <t>5480 · Shipping &amp; Packaging Costs</t>
  </si>
  <si>
    <t>5490 · Shop Supplies</t>
  </si>
  <si>
    <t>5500 · Small Tools</t>
  </si>
  <si>
    <t>5510 · Travel - Reimbursable</t>
  </si>
  <si>
    <t>5515 · Warranty Repair / Travel</t>
  </si>
  <si>
    <t>5520 · Trash Removal</t>
  </si>
  <si>
    <t>5530 · Utilities</t>
  </si>
  <si>
    <t>5560 · Workshops &amp; Seminars</t>
  </si>
  <si>
    <t>Total COGS</t>
  </si>
  <si>
    <t>Gross Profit</t>
  </si>
  <si>
    <t>Expense</t>
  </si>
  <si>
    <t>Annual Report</t>
  </si>
  <si>
    <t>Furniture &amp; Equip under $2500</t>
  </si>
  <si>
    <t>Merchant deposit fees</t>
  </si>
  <si>
    <t>Office Accrued Wages-</t>
  </si>
  <si>
    <t>Office Salaries - Sales Enginee</t>
  </si>
  <si>
    <t>Payroll Tax Expense</t>
  </si>
  <si>
    <t>Retirement Plan Expense</t>
  </si>
  <si>
    <t>5420D0 · Repairs &amp; Maintenance - Bldg0</t>
  </si>
  <si>
    <t>6010 · Officer Salaries</t>
  </si>
  <si>
    <t>6020 · Office Salaries</t>
  </si>
  <si>
    <t>6035 · Advertisng</t>
  </si>
  <si>
    <t>6040 · Advertising Brochures</t>
  </si>
  <si>
    <t>6045 · Amortization Expense</t>
  </si>
  <si>
    <t>6050 · Bad Debt Expense</t>
  </si>
  <si>
    <t>6060 · Bank Charges</t>
  </si>
  <si>
    <t>6070 · Commissions</t>
  </si>
  <si>
    <t>6090 · Depreciation -</t>
  </si>
  <si>
    <t>6100 · Dues And Subscriptions</t>
  </si>
  <si>
    <t>6105 · Employer 401K Contribution -</t>
  </si>
  <si>
    <t>6110 · Exhibition And Expense</t>
  </si>
  <si>
    <t>6120 · Exhibition Travel Expense</t>
  </si>
  <si>
    <t>6130 · Insurance - General -</t>
  </si>
  <si>
    <t>6140 · Insurance - Employee Medical-</t>
  </si>
  <si>
    <t>6160 · Interest</t>
  </si>
  <si>
    <t>6170 · Office Supplies &amp; Expense</t>
  </si>
  <si>
    <t>6220 · Postage</t>
  </si>
  <si>
    <t>6230 · Professional Fees</t>
  </si>
  <si>
    <t>6260 · Telephone</t>
  </si>
  <si>
    <t>6265 · Training &amp; Education</t>
  </si>
  <si>
    <t>6270 · Travel &amp; Entertainment</t>
  </si>
  <si>
    <t>6280 · Utilities -</t>
  </si>
  <si>
    <t>6290 · Miscellaneous Expense -</t>
  </si>
  <si>
    <t>66000 · Payroll Expenses</t>
  </si>
  <si>
    <t>66900 · Reconciliation Discrepancies</t>
  </si>
  <si>
    <t>7020 · State Income Taxes</t>
  </si>
  <si>
    <t>Total Expense</t>
  </si>
  <si>
    <t>Net Ordinary Income</t>
  </si>
  <si>
    <t>Other Income/Expense</t>
  </si>
  <si>
    <t>Other Income</t>
  </si>
  <si>
    <t>INSURANCE COLLISION INCOME</t>
  </si>
  <si>
    <t>PPP Loan Forgiven</t>
  </si>
  <si>
    <t>4610 · Interest Income</t>
  </si>
  <si>
    <t>4640 · Miscellaneous Income</t>
  </si>
  <si>
    <t>Total Other Income</t>
  </si>
  <si>
    <t>Other Expense</t>
  </si>
  <si>
    <t>Loss on sale of Assets</t>
  </si>
  <si>
    <t>Total Other Expense</t>
  </si>
  <si>
    <t>Net Other Income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</si>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</sst>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"/>
  </numFmts>
  <fonts count="6" x14ac:knownFonts="1">
    <font>
      <sz val="11"/>
      <color theme="1"/>
      <name val="Aptos Narrow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49" fontId="1" fillId="0" borderId="0" xfId="0" applyNumberFormat="1" applyFont="1"/>
    <xf numFmtId="164" fontId="2" fillId="0" borderId="0" xfId="0" applyNumberFormat="1" applyFont="1"/>
    <xf numFmtId="49" fontId="2" fillId="0" borderId="0" xfId="0" applyNumberFormat="1" applyFont="1"/>
    <xf numFmtId="164" fontId="2" fillId="0" borderId="2" xfId="0" applyNumberFormat="1" applyFont="1" applyBorder="1"/>
    <xf numFmtId="164" fontId="2" fillId="0" borderId="3" xfId="0" applyNumberFormat="1" applyFont="1" applyBorder="1"/>
    <xf numFmtId="164" fontId="2" fillId="0" borderId="4" xfId="0" applyNumberFormat="1" applyFont="1" applyBorder="1"/>
    <xf numFmtId="164" fontId="1" fillId="0" borderId="5" xfId="0" applyNumberFormat="1" applyFont="1" applyBorder="1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0" xfId="1" applyFont="1"/>
    <xf numFmtId="0" fontId="5" fillId="0" borderId="0" xfId="1" applyFont="1"/>
  </cellXfs>
  <cellStyles count="2">
    <cellStyle name="Normal" xfId="0" builtinId="0"/>
    <cellStyle name="Normal 2" xfId="1" xr:uid="{2895AFAE-AE46-4BBF-B2C8-93ACCBA0C4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885825</xdr:colOff>
      <xdr:row>30</xdr:row>
      <xdr:rowOff>66675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59520AC-BF3C-4C98-BAE8-1C60479EF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11075" cy="638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44EB3-6E81-44E6-8432-C8F8B3B87C30}">
  <dimension ref="B1:C40"/>
  <sheetViews>
    <sheetView showGridLines="0" zoomScale="84" zoomScaleNormal="84" workbookViewId="0"/>
  </sheetViews>
  <sheetFormatPr defaultColWidth="8.86328125" defaultRowHeight="14.25" x14ac:dyDescent="0.45"/>
  <cols>
    <col min="1" max="1" width="3" style="13" customWidth="1"/>
    <col min="2" max="2" width="4.1328125" style="13" customWidth="1"/>
    <col min="3" max="3" width="54" style="13" customWidth="1"/>
    <col min="4" max="4" width="3.73046875" style="13" customWidth="1"/>
    <col min="5" max="5" width="90.265625" style="13" customWidth="1"/>
    <col min="6" max="7" width="8.86328125" style="13"/>
    <col min="8" max="8" width="15.3984375" style="13" customWidth="1"/>
    <col min="9" max="9" width="5.1328125" style="13" customWidth="1"/>
    <col min="10" max="11" width="8.86328125" style="13"/>
    <col min="12" max="12" width="3" style="13" customWidth="1"/>
    <col min="13" max="15" width="8.86328125" style="13"/>
    <col min="16" max="16" width="7" style="13" customWidth="1"/>
    <col min="17" max="256" width="8.86328125" style="13"/>
    <col min="257" max="257" width="3" style="13" customWidth="1"/>
    <col min="258" max="258" width="4.1328125" style="13" customWidth="1"/>
    <col min="259" max="259" width="54" style="13" customWidth="1"/>
    <col min="260" max="260" width="3.73046875" style="13" customWidth="1"/>
    <col min="261" max="261" width="90.265625" style="13" customWidth="1"/>
    <col min="262" max="263" width="8.86328125" style="13"/>
    <col min="264" max="264" width="15.3984375" style="13" customWidth="1"/>
    <col min="265" max="265" width="5.1328125" style="13" customWidth="1"/>
    <col min="266" max="267" width="8.86328125" style="13"/>
    <col min="268" max="268" width="3" style="13" customWidth="1"/>
    <col min="269" max="271" width="8.86328125" style="13"/>
    <col min="272" max="272" width="7" style="13" customWidth="1"/>
    <col min="273" max="512" width="8.86328125" style="13"/>
    <col min="513" max="513" width="3" style="13" customWidth="1"/>
    <col min="514" max="514" width="4.1328125" style="13" customWidth="1"/>
    <col min="515" max="515" width="54" style="13" customWidth="1"/>
    <col min="516" max="516" width="3.73046875" style="13" customWidth="1"/>
    <col min="517" max="517" width="90.265625" style="13" customWidth="1"/>
    <col min="518" max="519" width="8.86328125" style="13"/>
    <col min="520" max="520" width="15.3984375" style="13" customWidth="1"/>
    <col min="521" max="521" width="5.1328125" style="13" customWidth="1"/>
    <col min="522" max="523" width="8.86328125" style="13"/>
    <col min="524" max="524" width="3" style="13" customWidth="1"/>
    <col min="525" max="527" width="8.86328125" style="13"/>
    <col min="528" max="528" width="7" style="13" customWidth="1"/>
    <col min="529" max="768" width="8.86328125" style="13"/>
    <col min="769" max="769" width="3" style="13" customWidth="1"/>
    <col min="770" max="770" width="4.1328125" style="13" customWidth="1"/>
    <col min="771" max="771" width="54" style="13" customWidth="1"/>
    <col min="772" max="772" width="3.73046875" style="13" customWidth="1"/>
    <col min="773" max="773" width="90.265625" style="13" customWidth="1"/>
    <col min="774" max="775" width="8.86328125" style="13"/>
    <col min="776" max="776" width="15.3984375" style="13" customWidth="1"/>
    <col min="777" max="777" width="5.1328125" style="13" customWidth="1"/>
    <col min="778" max="779" width="8.86328125" style="13"/>
    <col min="780" max="780" width="3" style="13" customWidth="1"/>
    <col min="781" max="783" width="8.86328125" style="13"/>
    <col min="784" max="784" width="7" style="13" customWidth="1"/>
    <col min="785" max="1024" width="8.86328125" style="13"/>
    <col min="1025" max="1025" width="3" style="13" customWidth="1"/>
    <col min="1026" max="1026" width="4.1328125" style="13" customWidth="1"/>
    <col min="1027" max="1027" width="54" style="13" customWidth="1"/>
    <col min="1028" max="1028" width="3.73046875" style="13" customWidth="1"/>
    <col min="1029" max="1029" width="90.265625" style="13" customWidth="1"/>
    <col min="1030" max="1031" width="8.86328125" style="13"/>
    <col min="1032" max="1032" width="15.3984375" style="13" customWidth="1"/>
    <col min="1033" max="1033" width="5.1328125" style="13" customWidth="1"/>
    <col min="1034" max="1035" width="8.86328125" style="13"/>
    <col min="1036" max="1036" width="3" style="13" customWidth="1"/>
    <col min="1037" max="1039" width="8.86328125" style="13"/>
    <col min="1040" max="1040" width="7" style="13" customWidth="1"/>
    <col min="1041" max="1280" width="8.86328125" style="13"/>
    <col min="1281" max="1281" width="3" style="13" customWidth="1"/>
    <col min="1282" max="1282" width="4.1328125" style="13" customWidth="1"/>
    <col min="1283" max="1283" width="54" style="13" customWidth="1"/>
    <col min="1284" max="1284" width="3.73046875" style="13" customWidth="1"/>
    <col min="1285" max="1285" width="90.265625" style="13" customWidth="1"/>
    <col min="1286" max="1287" width="8.86328125" style="13"/>
    <col min="1288" max="1288" width="15.3984375" style="13" customWidth="1"/>
    <col min="1289" max="1289" width="5.1328125" style="13" customWidth="1"/>
    <col min="1290" max="1291" width="8.86328125" style="13"/>
    <col min="1292" max="1292" width="3" style="13" customWidth="1"/>
    <col min="1293" max="1295" width="8.86328125" style="13"/>
    <col min="1296" max="1296" width="7" style="13" customWidth="1"/>
    <col min="1297" max="1536" width="8.86328125" style="13"/>
    <col min="1537" max="1537" width="3" style="13" customWidth="1"/>
    <col min="1538" max="1538" width="4.1328125" style="13" customWidth="1"/>
    <col min="1539" max="1539" width="54" style="13" customWidth="1"/>
    <col min="1540" max="1540" width="3.73046875" style="13" customWidth="1"/>
    <col min="1541" max="1541" width="90.265625" style="13" customWidth="1"/>
    <col min="1542" max="1543" width="8.86328125" style="13"/>
    <col min="1544" max="1544" width="15.3984375" style="13" customWidth="1"/>
    <col min="1545" max="1545" width="5.1328125" style="13" customWidth="1"/>
    <col min="1546" max="1547" width="8.86328125" style="13"/>
    <col min="1548" max="1548" width="3" style="13" customWidth="1"/>
    <col min="1549" max="1551" width="8.86328125" style="13"/>
    <col min="1552" max="1552" width="7" style="13" customWidth="1"/>
    <col min="1553" max="1792" width="8.86328125" style="13"/>
    <col min="1793" max="1793" width="3" style="13" customWidth="1"/>
    <col min="1794" max="1794" width="4.1328125" style="13" customWidth="1"/>
    <col min="1795" max="1795" width="54" style="13" customWidth="1"/>
    <col min="1796" max="1796" width="3.73046875" style="13" customWidth="1"/>
    <col min="1797" max="1797" width="90.265625" style="13" customWidth="1"/>
    <col min="1798" max="1799" width="8.86328125" style="13"/>
    <col min="1800" max="1800" width="15.3984375" style="13" customWidth="1"/>
    <col min="1801" max="1801" width="5.1328125" style="13" customWidth="1"/>
    <col min="1802" max="1803" width="8.86328125" style="13"/>
    <col min="1804" max="1804" width="3" style="13" customWidth="1"/>
    <col min="1805" max="1807" width="8.86328125" style="13"/>
    <col min="1808" max="1808" width="7" style="13" customWidth="1"/>
    <col min="1809" max="2048" width="8.86328125" style="13"/>
    <col min="2049" max="2049" width="3" style="13" customWidth="1"/>
    <col min="2050" max="2050" width="4.1328125" style="13" customWidth="1"/>
    <col min="2051" max="2051" width="54" style="13" customWidth="1"/>
    <col min="2052" max="2052" width="3.73046875" style="13" customWidth="1"/>
    <col min="2053" max="2053" width="90.265625" style="13" customWidth="1"/>
    <col min="2054" max="2055" width="8.86328125" style="13"/>
    <col min="2056" max="2056" width="15.3984375" style="13" customWidth="1"/>
    <col min="2057" max="2057" width="5.1328125" style="13" customWidth="1"/>
    <col min="2058" max="2059" width="8.86328125" style="13"/>
    <col min="2060" max="2060" width="3" style="13" customWidth="1"/>
    <col min="2061" max="2063" width="8.86328125" style="13"/>
    <col min="2064" max="2064" width="7" style="13" customWidth="1"/>
    <col min="2065" max="2304" width="8.86328125" style="13"/>
    <col min="2305" max="2305" width="3" style="13" customWidth="1"/>
    <col min="2306" max="2306" width="4.1328125" style="13" customWidth="1"/>
    <col min="2307" max="2307" width="54" style="13" customWidth="1"/>
    <col min="2308" max="2308" width="3.73046875" style="13" customWidth="1"/>
    <col min="2309" max="2309" width="90.265625" style="13" customWidth="1"/>
    <col min="2310" max="2311" width="8.86328125" style="13"/>
    <col min="2312" max="2312" width="15.3984375" style="13" customWidth="1"/>
    <col min="2313" max="2313" width="5.1328125" style="13" customWidth="1"/>
    <col min="2314" max="2315" width="8.86328125" style="13"/>
    <col min="2316" max="2316" width="3" style="13" customWidth="1"/>
    <col min="2317" max="2319" width="8.86328125" style="13"/>
    <col min="2320" max="2320" width="7" style="13" customWidth="1"/>
    <col min="2321" max="2560" width="8.86328125" style="13"/>
    <col min="2561" max="2561" width="3" style="13" customWidth="1"/>
    <col min="2562" max="2562" width="4.1328125" style="13" customWidth="1"/>
    <col min="2563" max="2563" width="54" style="13" customWidth="1"/>
    <col min="2564" max="2564" width="3.73046875" style="13" customWidth="1"/>
    <col min="2565" max="2565" width="90.265625" style="13" customWidth="1"/>
    <col min="2566" max="2567" width="8.86328125" style="13"/>
    <col min="2568" max="2568" width="15.3984375" style="13" customWidth="1"/>
    <col min="2569" max="2569" width="5.1328125" style="13" customWidth="1"/>
    <col min="2570" max="2571" width="8.86328125" style="13"/>
    <col min="2572" max="2572" width="3" style="13" customWidth="1"/>
    <col min="2573" max="2575" width="8.86328125" style="13"/>
    <col min="2576" max="2576" width="7" style="13" customWidth="1"/>
    <col min="2577" max="2816" width="8.86328125" style="13"/>
    <col min="2817" max="2817" width="3" style="13" customWidth="1"/>
    <col min="2818" max="2818" width="4.1328125" style="13" customWidth="1"/>
    <col min="2819" max="2819" width="54" style="13" customWidth="1"/>
    <col min="2820" max="2820" width="3.73046875" style="13" customWidth="1"/>
    <col min="2821" max="2821" width="90.265625" style="13" customWidth="1"/>
    <col min="2822" max="2823" width="8.86328125" style="13"/>
    <col min="2824" max="2824" width="15.3984375" style="13" customWidth="1"/>
    <col min="2825" max="2825" width="5.1328125" style="13" customWidth="1"/>
    <col min="2826" max="2827" width="8.86328125" style="13"/>
    <col min="2828" max="2828" width="3" style="13" customWidth="1"/>
    <col min="2829" max="2831" width="8.86328125" style="13"/>
    <col min="2832" max="2832" width="7" style="13" customWidth="1"/>
    <col min="2833" max="3072" width="8.86328125" style="13"/>
    <col min="3073" max="3073" width="3" style="13" customWidth="1"/>
    <col min="3074" max="3074" width="4.1328125" style="13" customWidth="1"/>
    <col min="3075" max="3075" width="54" style="13" customWidth="1"/>
    <col min="3076" max="3076" width="3.73046875" style="13" customWidth="1"/>
    <col min="3077" max="3077" width="90.265625" style="13" customWidth="1"/>
    <col min="3078" max="3079" width="8.86328125" style="13"/>
    <col min="3080" max="3080" width="15.3984375" style="13" customWidth="1"/>
    <col min="3081" max="3081" width="5.1328125" style="13" customWidth="1"/>
    <col min="3082" max="3083" width="8.86328125" style="13"/>
    <col min="3084" max="3084" width="3" style="13" customWidth="1"/>
    <col min="3085" max="3087" width="8.86328125" style="13"/>
    <col min="3088" max="3088" width="7" style="13" customWidth="1"/>
    <col min="3089" max="3328" width="8.86328125" style="13"/>
    <col min="3329" max="3329" width="3" style="13" customWidth="1"/>
    <col min="3330" max="3330" width="4.1328125" style="13" customWidth="1"/>
    <col min="3331" max="3331" width="54" style="13" customWidth="1"/>
    <col min="3332" max="3332" width="3.73046875" style="13" customWidth="1"/>
    <col min="3333" max="3333" width="90.265625" style="13" customWidth="1"/>
    <col min="3334" max="3335" width="8.86328125" style="13"/>
    <col min="3336" max="3336" width="15.3984375" style="13" customWidth="1"/>
    <col min="3337" max="3337" width="5.1328125" style="13" customWidth="1"/>
    <col min="3338" max="3339" width="8.86328125" style="13"/>
    <col min="3340" max="3340" width="3" style="13" customWidth="1"/>
    <col min="3341" max="3343" width="8.86328125" style="13"/>
    <col min="3344" max="3344" width="7" style="13" customWidth="1"/>
    <col min="3345" max="3584" width="8.86328125" style="13"/>
    <col min="3585" max="3585" width="3" style="13" customWidth="1"/>
    <col min="3586" max="3586" width="4.1328125" style="13" customWidth="1"/>
    <col min="3587" max="3587" width="54" style="13" customWidth="1"/>
    <col min="3588" max="3588" width="3.73046875" style="13" customWidth="1"/>
    <col min="3589" max="3589" width="90.265625" style="13" customWidth="1"/>
    <col min="3590" max="3591" width="8.86328125" style="13"/>
    <col min="3592" max="3592" width="15.3984375" style="13" customWidth="1"/>
    <col min="3593" max="3593" width="5.1328125" style="13" customWidth="1"/>
    <col min="3594" max="3595" width="8.86328125" style="13"/>
    <col min="3596" max="3596" width="3" style="13" customWidth="1"/>
    <col min="3597" max="3599" width="8.86328125" style="13"/>
    <col min="3600" max="3600" width="7" style="13" customWidth="1"/>
    <col min="3601" max="3840" width="8.86328125" style="13"/>
    <col min="3841" max="3841" width="3" style="13" customWidth="1"/>
    <col min="3842" max="3842" width="4.1328125" style="13" customWidth="1"/>
    <col min="3843" max="3843" width="54" style="13" customWidth="1"/>
    <col min="3844" max="3844" width="3.73046875" style="13" customWidth="1"/>
    <col min="3845" max="3845" width="90.265625" style="13" customWidth="1"/>
    <col min="3846" max="3847" width="8.86328125" style="13"/>
    <col min="3848" max="3848" width="15.3984375" style="13" customWidth="1"/>
    <col min="3849" max="3849" width="5.1328125" style="13" customWidth="1"/>
    <col min="3850" max="3851" width="8.86328125" style="13"/>
    <col min="3852" max="3852" width="3" style="13" customWidth="1"/>
    <col min="3853" max="3855" width="8.86328125" style="13"/>
    <col min="3856" max="3856" width="7" style="13" customWidth="1"/>
    <col min="3857" max="4096" width="8.86328125" style="13"/>
    <col min="4097" max="4097" width="3" style="13" customWidth="1"/>
    <col min="4098" max="4098" width="4.1328125" style="13" customWidth="1"/>
    <col min="4099" max="4099" width="54" style="13" customWidth="1"/>
    <col min="4100" max="4100" width="3.73046875" style="13" customWidth="1"/>
    <col min="4101" max="4101" width="90.265625" style="13" customWidth="1"/>
    <col min="4102" max="4103" width="8.86328125" style="13"/>
    <col min="4104" max="4104" width="15.3984375" style="13" customWidth="1"/>
    <col min="4105" max="4105" width="5.1328125" style="13" customWidth="1"/>
    <col min="4106" max="4107" width="8.86328125" style="13"/>
    <col min="4108" max="4108" width="3" style="13" customWidth="1"/>
    <col min="4109" max="4111" width="8.86328125" style="13"/>
    <col min="4112" max="4112" width="7" style="13" customWidth="1"/>
    <col min="4113" max="4352" width="8.86328125" style="13"/>
    <col min="4353" max="4353" width="3" style="13" customWidth="1"/>
    <col min="4354" max="4354" width="4.1328125" style="13" customWidth="1"/>
    <col min="4355" max="4355" width="54" style="13" customWidth="1"/>
    <col min="4356" max="4356" width="3.73046875" style="13" customWidth="1"/>
    <col min="4357" max="4357" width="90.265625" style="13" customWidth="1"/>
    <col min="4358" max="4359" width="8.86328125" style="13"/>
    <col min="4360" max="4360" width="15.3984375" style="13" customWidth="1"/>
    <col min="4361" max="4361" width="5.1328125" style="13" customWidth="1"/>
    <col min="4362" max="4363" width="8.86328125" style="13"/>
    <col min="4364" max="4364" width="3" style="13" customWidth="1"/>
    <col min="4365" max="4367" width="8.86328125" style="13"/>
    <col min="4368" max="4368" width="7" style="13" customWidth="1"/>
    <col min="4369" max="4608" width="8.86328125" style="13"/>
    <col min="4609" max="4609" width="3" style="13" customWidth="1"/>
    <col min="4610" max="4610" width="4.1328125" style="13" customWidth="1"/>
    <col min="4611" max="4611" width="54" style="13" customWidth="1"/>
    <col min="4612" max="4612" width="3.73046875" style="13" customWidth="1"/>
    <col min="4613" max="4613" width="90.265625" style="13" customWidth="1"/>
    <col min="4614" max="4615" width="8.86328125" style="13"/>
    <col min="4616" max="4616" width="15.3984375" style="13" customWidth="1"/>
    <col min="4617" max="4617" width="5.1328125" style="13" customWidth="1"/>
    <col min="4618" max="4619" width="8.86328125" style="13"/>
    <col min="4620" max="4620" width="3" style="13" customWidth="1"/>
    <col min="4621" max="4623" width="8.86328125" style="13"/>
    <col min="4624" max="4624" width="7" style="13" customWidth="1"/>
    <col min="4625" max="4864" width="8.86328125" style="13"/>
    <col min="4865" max="4865" width="3" style="13" customWidth="1"/>
    <col min="4866" max="4866" width="4.1328125" style="13" customWidth="1"/>
    <col min="4867" max="4867" width="54" style="13" customWidth="1"/>
    <col min="4868" max="4868" width="3.73046875" style="13" customWidth="1"/>
    <col min="4869" max="4869" width="90.265625" style="13" customWidth="1"/>
    <col min="4870" max="4871" width="8.86328125" style="13"/>
    <col min="4872" max="4872" width="15.3984375" style="13" customWidth="1"/>
    <col min="4873" max="4873" width="5.1328125" style="13" customWidth="1"/>
    <col min="4874" max="4875" width="8.86328125" style="13"/>
    <col min="4876" max="4876" width="3" style="13" customWidth="1"/>
    <col min="4877" max="4879" width="8.86328125" style="13"/>
    <col min="4880" max="4880" width="7" style="13" customWidth="1"/>
    <col min="4881" max="5120" width="8.86328125" style="13"/>
    <col min="5121" max="5121" width="3" style="13" customWidth="1"/>
    <col min="5122" max="5122" width="4.1328125" style="13" customWidth="1"/>
    <col min="5123" max="5123" width="54" style="13" customWidth="1"/>
    <col min="5124" max="5124" width="3.73046875" style="13" customWidth="1"/>
    <col min="5125" max="5125" width="90.265625" style="13" customWidth="1"/>
    <col min="5126" max="5127" width="8.86328125" style="13"/>
    <col min="5128" max="5128" width="15.3984375" style="13" customWidth="1"/>
    <col min="5129" max="5129" width="5.1328125" style="13" customWidth="1"/>
    <col min="5130" max="5131" width="8.86328125" style="13"/>
    <col min="5132" max="5132" width="3" style="13" customWidth="1"/>
    <col min="5133" max="5135" width="8.86328125" style="13"/>
    <col min="5136" max="5136" width="7" style="13" customWidth="1"/>
    <col min="5137" max="5376" width="8.86328125" style="13"/>
    <col min="5377" max="5377" width="3" style="13" customWidth="1"/>
    <col min="5378" max="5378" width="4.1328125" style="13" customWidth="1"/>
    <col min="5379" max="5379" width="54" style="13" customWidth="1"/>
    <col min="5380" max="5380" width="3.73046875" style="13" customWidth="1"/>
    <col min="5381" max="5381" width="90.265625" style="13" customWidth="1"/>
    <col min="5382" max="5383" width="8.86328125" style="13"/>
    <col min="5384" max="5384" width="15.3984375" style="13" customWidth="1"/>
    <col min="5385" max="5385" width="5.1328125" style="13" customWidth="1"/>
    <col min="5386" max="5387" width="8.86328125" style="13"/>
    <col min="5388" max="5388" width="3" style="13" customWidth="1"/>
    <col min="5389" max="5391" width="8.86328125" style="13"/>
    <col min="5392" max="5392" width="7" style="13" customWidth="1"/>
    <col min="5393" max="5632" width="8.86328125" style="13"/>
    <col min="5633" max="5633" width="3" style="13" customWidth="1"/>
    <col min="5634" max="5634" width="4.1328125" style="13" customWidth="1"/>
    <col min="5635" max="5635" width="54" style="13" customWidth="1"/>
    <col min="5636" max="5636" width="3.73046875" style="13" customWidth="1"/>
    <col min="5637" max="5637" width="90.265625" style="13" customWidth="1"/>
    <col min="5638" max="5639" width="8.86328125" style="13"/>
    <col min="5640" max="5640" width="15.3984375" style="13" customWidth="1"/>
    <col min="5641" max="5641" width="5.1328125" style="13" customWidth="1"/>
    <col min="5642" max="5643" width="8.86328125" style="13"/>
    <col min="5644" max="5644" width="3" style="13" customWidth="1"/>
    <col min="5645" max="5647" width="8.86328125" style="13"/>
    <col min="5648" max="5648" width="7" style="13" customWidth="1"/>
    <col min="5649" max="5888" width="8.86328125" style="13"/>
    <col min="5889" max="5889" width="3" style="13" customWidth="1"/>
    <col min="5890" max="5890" width="4.1328125" style="13" customWidth="1"/>
    <col min="5891" max="5891" width="54" style="13" customWidth="1"/>
    <col min="5892" max="5892" width="3.73046875" style="13" customWidth="1"/>
    <col min="5893" max="5893" width="90.265625" style="13" customWidth="1"/>
    <col min="5894" max="5895" width="8.86328125" style="13"/>
    <col min="5896" max="5896" width="15.3984375" style="13" customWidth="1"/>
    <col min="5897" max="5897" width="5.1328125" style="13" customWidth="1"/>
    <col min="5898" max="5899" width="8.86328125" style="13"/>
    <col min="5900" max="5900" width="3" style="13" customWidth="1"/>
    <col min="5901" max="5903" width="8.86328125" style="13"/>
    <col min="5904" max="5904" width="7" style="13" customWidth="1"/>
    <col min="5905" max="6144" width="8.86328125" style="13"/>
    <col min="6145" max="6145" width="3" style="13" customWidth="1"/>
    <col min="6146" max="6146" width="4.1328125" style="13" customWidth="1"/>
    <col min="6147" max="6147" width="54" style="13" customWidth="1"/>
    <col min="6148" max="6148" width="3.73046875" style="13" customWidth="1"/>
    <col min="6149" max="6149" width="90.265625" style="13" customWidth="1"/>
    <col min="6150" max="6151" width="8.86328125" style="13"/>
    <col min="6152" max="6152" width="15.3984375" style="13" customWidth="1"/>
    <col min="6153" max="6153" width="5.1328125" style="13" customWidth="1"/>
    <col min="6154" max="6155" width="8.86328125" style="13"/>
    <col min="6156" max="6156" width="3" style="13" customWidth="1"/>
    <col min="6157" max="6159" width="8.86328125" style="13"/>
    <col min="6160" max="6160" width="7" style="13" customWidth="1"/>
    <col min="6161" max="6400" width="8.86328125" style="13"/>
    <col min="6401" max="6401" width="3" style="13" customWidth="1"/>
    <col min="6402" max="6402" width="4.1328125" style="13" customWidth="1"/>
    <col min="6403" max="6403" width="54" style="13" customWidth="1"/>
    <col min="6404" max="6404" width="3.73046875" style="13" customWidth="1"/>
    <col min="6405" max="6405" width="90.265625" style="13" customWidth="1"/>
    <col min="6406" max="6407" width="8.86328125" style="13"/>
    <col min="6408" max="6408" width="15.3984375" style="13" customWidth="1"/>
    <col min="6409" max="6409" width="5.1328125" style="13" customWidth="1"/>
    <col min="6410" max="6411" width="8.86328125" style="13"/>
    <col min="6412" max="6412" width="3" style="13" customWidth="1"/>
    <col min="6413" max="6415" width="8.86328125" style="13"/>
    <col min="6416" max="6416" width="7" style="13" customWidth="1"/>
    <col min="6417" max="6656" width="8.86328125" style="13"/>
    <col min="6657" max="6657" width="3" style="13" customWidth="1"/>
    <col min="6658" max="6658" width="4.1328125" style="13" customWidth="1"/>
    <col min="6659" max="6659" width="54" style="13" customWidth="1"/>
    <col min="6660" max="6660" width="3.73046875" style="13" customWidth="1"/>
    <col min="6661" max="6661" width="90.265625" style="13" customWidth="1"/>
    <col min="6662" max="6663" width="8.86328125" style="13"/>
    <col min="6664" max="6664" width="15.3984375" style="13" customWidth="1"/>
    <col min="6665" max="6665" width="5.1328125" style="13" customWidth="1"/>
    <col min="6666" max="6667" width="8.86328125" style="13"/>
    <col min="6668" max="6668" width="3" style="13" customWidth="1"/>
    <col min="6669" max="6671" width="8.86328125" style="13"/>
    <col min="6672" max="6672" width="7" style="13" customWidth="1"/>
    <col min="6673" max="6912" width="8.86328125" style="13"/>
    <col min="6913" max="6913" width="3" style="13" customWidth="1"/>
    <col min="6914" max="6914" width="4.1328125" style="13" customWidth="1"/>
    <col min="6915" max="6915" width="54" style="13" customWidth="1"/>
    <col min="6916" max="6916" width="3.73046875" style="13" customWidth="1"/>
    <col min="6917" max="6917" width="90.265625" style="13" customWidth="1"/>
    <col min="6918" max="6919" width="8.86328125" style="13"/>
    <col min="6920" max="6920" width="15.3984375" style="13" customWidth="1"/>
    <col min="6921" max="6921" width="5.1328125" style="13" customWidth="1"/>
    <col min="6922" max="6923" width="8.86328125" style="13"/>
    <col min="6924" max="6924" width="3" style="13" customWidth="1"/>
    <col min="6925" max="6927" width="8.86328125" style="13"/>
    <col min="6928" max="6928" width="7" style="13" customWidth="1"/>
    <col min="6929" max="7168" width="8.86328125" style="13"/>
    <col min="7169" max="7169" width="3" style="13" customWidth="1"/>
    <col min="7170" max="7170" width="4.1328125" style="13" customWidth="1"/>
    <col min="7171" max="7171" width="54" style="13" customWidth="1"/>
    <col min="7172" max="7172" width="3.73046875" style="13" customWidth="1"/>
    <col min="7173" max="7173" width="90.265625" style="13" customWidth="1"/>
    <col min="7174" max="7175" width="8.86328125" style="13"/>
    <col min="7176" max="7176" width="15.3984375" style="13" customWidth="1"/>
    <col min="7177" max="7177" width="5.1328125" style="13" customWidth="1"/>
    <col min="7178" max="7179" width="8.86328125" style="13"/>
    <col min="7180" max="7180" width="3" style="13" customWidth="1"/>
    <col min="7181" max="7183" width="8.86328125" style="13"/>
    <col min="7184" max="7184" width="7" style="13" customWidth="1"/>
    <col min="7185" max="7424" width="8.86328125" style="13"/>
    <col min="7425" max="7425" width="3" style="13" customWidth="1"/>
    <col min="7426" max="7426" width="4.1328125" style="13" customWidth="1"/>
    <col min="7427" max="7427" width="54" style="13" customWidth="1"/>
    <col min="7428" max="7428" width="3.73046875" style="13" customWidth="1"/>
    <col min="7429" max="7429" width="90.265625" style="13" customWidth="1"/>
    <col min="7430" max="7431" width="8.86328125" style="13"/>
    <col min="7432" max="7432" width="15.3984375" style="13" customWidth="1"/>
    <col min="7433" max="7433" width="5.1328125" style="13" customWidth="1"/>
    <col min="7434" max="7435" width="8.86328125" style="13"/>
    <col min="7436" max="7436" width="3" style="13" customWidth="1"/>
    <col min="7437" max="7439" width="8.86328125" style="13"/>
    <col min="7440" max="7440" width="7" style="13" customWidth="1"/>
    <col min="7441" max="7680" width="8.86328125" style="13"/>
    <col min="7681" max="7681" width="3" style="13" customWidth="1"/>
    <col min="7682" max="7682" width="4.1328125" style="13" customWidth="1"/>
    <col min="7683" max="7683" width="54" style="13" customWidth="1"/>
    <col min="7684" max="7684" width="3.73046875" style="13" customWidth="1"/>
    <col min="7685" max="7685" width="90.265625" style="13" customWidth="1"/>
    <col min="7686" max="7687" width="8.86328125" style="13"/>
    <col min="7688" max="7688" width="15.3984375" style="13" customWidth="1"/>
    <col min="7689" max="7689" width="5.1328125" style="13" customWidth="1"/>
    <col min="7690" max="7691" width="8.86328125" style="13"/>
    <col min="7692" max="7692" width="3" style="13" customWidth="1"/>
    <col min="7693" max="7695" width="8.86328125" style="13"/>
    <col min="7696" max="7696" width="7" style="13" customWidth="1"/>
    <col min="7697" max="7936" width="8.86328125" style="13"/>
    <col min="7937" max="7937" width="3" style="13" customWidth="1"/>
    <col min="7938" max="7938" width="4.1328125" style="13" customWidth="1"/>
    <col min="7939" max="7939" width="54" style="13" customWidth="1"/>
    <col min="7940" max="7940" width="3.73046875" style="13" customWidth="1"/>
    <col min="7941" max="7941" width="90.265625" style="13" customWidth="1"/>
    <col min="7942" max="7943" width="8.86328125" style="13"/>
    <col min="7944" max="7944" width="15.3984375" style="13" customWidth="1"/>
    <col min="7945" max="7945" width="5.1328125" style="13" customWidth="1"/>
    <col min="7946" max="7947" width="8.86328125" style="13"/>
    <col min="7948" max="7948" width="3" style="13" customWidth="1"/>
    <col min="7949" max="7951" width="8.86328125" style="13"/>
    <col min="7952" max="7952" width="7" style="13" customWidth="1"/>
    <col min="7953" max="8192" width="8.86328125" style="13"/>
    <col min="8193" max="8193" width="3" style="13" customWidth="1"/>
    <col min="8194" max="8194" width="4.1328125" style="13" customWidth="1"/>
    <col min="8195" max="8195" width="54" style="13" customWidth="1"/>
    <col min="8196" max="8196" width="3.73046875" style="13" customWidth="1"/>
    <col min="8197" max="8197" width="90.265625" style="13" customWidth="1"/>
    <col min="8198" max="8199" width="8.86328125" style="13"/>
    <col min="8200" max="8200" width="15.3984375" style="13" customWidth="1"/>
    <col min="8201" max="8201" width="5.1328125" style="13" customWidth="1"/>
    <col min="8202" max="8203" width="8.86328125" style="13"/>
    <col min="8204" max="8204" width="3" style="13" customWidth="1"/>
    <col min="8205" max="8207" width="8.86328125" style="13"/>
    <col min="8208" max="8208" width="7" style="13" customWidth="1"/>
    <col min="8209" max="8448" width="8.86328125" style="13"/>
    <col min="8449" max="8449" width="3" style="13" customWidth="1"/>
    <col min="8450" max="8450" width="4.1328125" style="13" customWidth="1"/>
    <col min="8451" max="8451" width="54" style="13" customWidth="1"/>
    <col min="8452" max="8452" width="3.73046875" style="13" customWidth="1"/>
    <col min="8453" max="8453" width="90.265625" style="13" customWidth="1"/>
    <col min="8454" max="8455" width="8.86328125" style="13"/>
    <col min="8456" max="8456" width="15.3984375" style="13" customWidth="1"/>
    <col min="8457" max="8457" width="5.1328125" style="13" customWidth="1"/>
    <col min="8458" max="8459" width="8.86328125" style="13"/>
    <col min="8460" max="8460" width="3" style="13" customWidth="1"/>
    <col min="8461" max="8463" width="8.86328125" style="13"/>
    <col min="8464" max="8464" width="7" style="13" customWidth="1"/>
    <col min="8465" max="8704" width="8.86328125" style="13"/>
    <col min="8705" max="8705" width="3" style="13" customWidth="1"/>
    <col min="8706" max="8706" width="4.1328125" style="13" customWidth="1"/>
    <col min="8707" max="8707" width="54" style="13" customWidth="1"/>
    <col min="8708" max="8708" width="3.73046875" style="13" customWidth="1"/>
    <col min="8709" max="8709" width="90.265625" style="13" customWidth="1"/>
    <col min="8710" max="8711" width="8.86328125" style="13"/>
    <col min="8712" max="8712" width="15.3984375" style="13" customWidth="1"/>
    <col min="8713" max="8713" width="5.1328125" style="13" customWidth="1"/>
    <col min="8714" max="8715" width="8.86328125" style="13"/>
    <col min="8716" max="8716" width="3" style="13" customWidth="1"/>
    <col min="8717" max="8719" width="8.86328125" style="13"/>
    <col min="8720" max="8720" width="7" style="13" customWidth="1"/>
    <col min="8721" max="8960" width="8.86328125" style="13"/>
    <col min="8961" max="8961" width="3" style="13" customWidth="1"/>
    <col min="8962" max="8962" width="4.1328125" style="13" customWidth="1"/>
    <col min="8963" max="8963" width="54" style="13" customWidth="1"/>
    <col min="8964" max="8964" width="3.73046875" style="13" customWidth="1"/>
    <col min="8965" max="8965" width="90.265625" style="13" customWidth="1"/>
    <col min="8966" max="8967" width="8.86328125" style="13"/>
    <col min="8968" max="8968" width="15.3984375" style="13" customWidth="1"/>
    <col min="8969" max="8969" width="5.1328125" style="13" customWidth="1"/>
    <col min="8970" max="8971" width="8.86328125" style="13"/>
    <col min="8972" max="8972" width="3" style="13" customWidth="1"/>
    <col min="8973" max="8975" width="8.86328125" style="13"/>
    <col min="8976" max="8976" width="7" style="13" customWidth="1"/>
    <col min="8977" max="9216" width="8.86328125" style="13"/>
    <col min="9217" max="9217" width="3" style="13" customWidth="1"/>
    <col min="9218" max="9218" width="4.1328125" style="13" customWidth="1"/>
    <col min="9219" max="9219" width="54" style="13" customWidth="1"/>
    <col min="9220" max="9220" width="3.73046875" style="13" customWidth="1"/>
    <col min="9221" max="9221" width="90.265625" style="13" customWidth="1"/>
    <col min="9222" max="9223" width="8.86328125" style="13"/>
    <col min="9224" max="9224" width="15.3984375" style="13" customWidth="1"/>
    <col min="9225" max="9225" width="5.1328125" style="13" customWidth="1"/>
    <col min="9226" max="9227" width="8.86328125" style="13"/>
    <col min="9228" max="9228" width="3" style="13" customWidth="1"/>
    <col min="9229" max="9231" width="8.86328125" style="13"/>
    <col min="9232" max="9232" width="7" style="13" customWidth="1"/>
    <col min="9233" max="9472" width="8.86328125" style="13"/>
    <col min="9473" max="9473" width="3" style="13" customWidth="1"/>
    <col min="9474" max="9474" width="4.1328125" style="13" customWidth="1"/>
    <col min="9475" max="9475" width="54" style="13" customWidth="1"/>
    <col min="9476" max="9476" width="3.73046875" style="13" customWidth="1"/>
    <col min="9477" max="9477" width="90.265625" style="13" customWidth="1"/>
    <col min="9478" max="9479" width="8.86328125" style="13"/>
    <col min="9480" max="9480" width="15.3984375" style="13" customWidth="1"/>
    <col min="9481" max="9481" width="5.1328125" style="13" customWidth="1"/>
    <col min="9482" max="9483" width="8.86328125" style="13"/>
    <col min="9484" max="9484" width="3" style="13" customWidth="1"/>
    <col min="9485" max="9487" width="8.86328125" style="13"/>
    <col min="9488" max="9488" width="7" style="13" customWidth="1"/>
    <col min="9489" max="9728" width="8.86328125" style="13"/>
    <col min="9729" max="9729" width="3" style="13" customWidth="1"/>
    <col min="9730" max="9730" width="4.1328125" style="13" customWidth="1"/>
    <col min="9731" max="9731" width="54" style="13" customWidth="1"/>
    <col min="9732" max="9732" width="3.73046875" style="13" customWidth="1"/>
    <col min="9733" max="9733" width="90.265625" style="13" customWidth="1"/>
    <col min="9734" max="9735" width="8.86328125" style="13"/>
    <col min="9736" max="9736" width="15.3984375" style="13" customWidth="1"/>
    <col min="9737" max="9737" width="5.1328125" style="13" customWidth="1"/>
    <col min="9738" max="9739" width="8.86328125" style="13"/>
    <col min="9740" max="9740" width="3" style="13" customWidth="1"/>
    <col min="9741" max="9743" width="8.86328125" style="13"/>
    <col min="9744" max="9744" width="7" style="13" customWidth="1"/>
    <col min="9745" max="9984" width="8.86328125" style="13"/>
    <col min="9985" max="9985" width="3" style="13" customWidth="1"/>
    <col min="9986" max="9986" width="4.1328125" style="13" customWidth="1"/>
    <col min="9987" max="9987" width="54" style="13" customWidth="1"/>
    <col min="9988" max="9988" width="3.73046875" style="13" customWidth="1"/>
    <col min="9989" max="9989" width="90.265625" style="13" customWidth="1"/>
    <col min="9990" max="9991" width="8.86328125" style="13"/>
    <col min="9992" max="9992" width="15.3984375" style="13" customWidth="1"/>
    <col min="9993" max="9993" width="5.1328125" style="13" customWidth="1"/>
    <col min="9994" max="9995" width="8.86328125" style="13"/>
    <col min="9996" max="9996" width="3" style="13" customWidth="1"/>
    <col min="9997" max="9999" width="8.86328125" style="13"/>
    <col min="10000" max="10000" width="7" style="13" customWidth="1"/>
    <col min="10001" max="10240" width="8.86328125" style="13"/>
    <col min="10241" max="10241" width="3" style="13" customWidth="1"/>
    <col min="10242" max="10242" width="4.1328125" style="13" customWidth="1"/>
    <col min="10243" max="10243" width="54" style="13" customWidth="1"/>
    <col min="10244" max="10244" width="3.73046875" style="13" customWidth="1"/>
    <col min="10245" max="10245" width="90.265625" style="13" customWidth="1"/>
    <col min="10246" max="10247" width="8.86328125" style="13"/>
    <col min="10248" max="10248" width="15.3984375" style="13" customWidth="1"/>
    <col min="10249" max="10249" width="5.1328125" style="13" customWidth="1"/>
    <col min="10250" max="10251" width="8.86328125" style="13"/>
    <col min="10252" max="10252" width="3" style="13" customWidth="1"/>
    <col min="10253" max="10255" width="8.86328125" style="13"/>
    <col min="10256" max="10256" width="7" style="13" customWidth="1"/>
    <col min="10257" max="10496" width="8.86328125" style="13"/>
    <col min="10497" max="10497" width="3" style="13" customWidth="1"/>
    <col min="10498" max="10498" width="4.1328125" style="13" customWidth="1"/>
    <col min="10499" max="10499" width="54" style="13" customWidth="1"/>
    <col min="10500" max="10500" width="3.73046875" style="13" customWidth="1"/>
    <col min="10501" max="10501" width="90.265625" style="13" customWidth="1"/>
    <col min="10502" max="10503" width="8.86328125" style="13"/>
    <col min="10504" max="10504" width="15.3984375" style="13" customWidth="1"/>
    <col min="10505" max="10505" width="5.1328125" style="13" customWidth="1"/>
    <col min="10506" max="10507" width="8.86328125" style="13"/>
    <col min="10508" max="10508" width="3" style="13" customWidth="1"/>
    <col min="10509" max="10511" width="8.86328125" style="13"/>
    <col min="10512" max="10512" width="7" style="13" customWidth="1"/>
    <col min="10513" max="10752" width="8.86328125" style="13"/>
    <col min="10753" max="10753" width="3" style="13" customWidth="1"/>
    <col min="10754" max="10754" width="4.1328125" style="13" customWidth="1"/>
    <col min="10755" max="10755" width="54" style="13" customWidth="1"/>
    <col min="10756" max="10756" width="3.73046875" style="13" customWidth="1"/>
    <col min="10757" max="10757" width="90.265625" style="13" customWidth="1"/>
    <col min="10758" max="10759" width="8.86328125" style="13"/>
    <col min="10760" max="10760" width="15.3984375" style="13" customWidth="1"/>
    <col min="10761" max="10761" width="5.1328125" style="13" customWidth="1"/>
    <col min="10762" max="10763" width="8.86328125" style="13"/>
    <col min="10764" max="10764" width="3" style="13" customWidth="1"/>
    <col min="10765" max="10767" width="8.86328125" style="13"/>
    <col min="10768" max="10768" width="7" style="13" customWidth="1"/>
    <col min="10769" max="11008" width="8.86328125" style="13"/>
    <col min="11009" max="11009" width="3" style="13" customWidth="1"/>
    <col min="11010" max="11010" width="4.1328125" style="13" customWidth="1"/>
    <col min="11011" max="11011" width="54" style="13" customWidth="1"/>
    <col min="11012" max="11012" width="3.73046875" style="13" customWidth="1"/>
    <col min="11013" max="11013" width="90.265625" style="13" customWidth="1"/>
    <col min="11014" max="11015" width="8.86328125" style="13"/>
    <col min="11016" max="11016" width="15.3984375" style="13" customWidth="1"/>
    <col min="11017" max="11017" width="5.1328125" style="13" customWidth="1"/>
    <col min="11018" max="11019" width="8.86328125" style="13"/>
    <col min="11020" max="11020" width="3" style="13" customWidth="1"/>
    <col min="11021" max="11023" width="8.86328125" style="13"/>
    <col min="11024" max="11024" width="7" style="13" customWidth="1"/>
    <col min="11025" max="11264" width="8.86328125" style="13"/>
    <col min="11265" max="11265" width="3" style="13" customWidth="1"/>
    <col min="11266" max="11266" width="4.1328125" style="13" customWidth="1"/>
    <col min="11267" max="11267" width="54" style="13" customWidth="1"/>
    <col min="11268" max="11268" width="3.73046875" style="13" customWidth="1"/>
    <col min="11269" max="11269" width="90.265625" style="13" customWidth="1"/>
    <col min="11270" max="11271" width="8.86328125" style="13"/>
    <col min="11272" max="11272" width="15.3984375" style="13" customWidth="1"/>
    <col min="11273" max="11273" width="5.1328125" style="13" customWidth="1"/>
    <col min="11274" max="11275" width="8.86328125" style="13"/>
    <col min="11276" max="11276" width="3" style="13" customWidth="1"/>
    <col min="11277" max="11279" width="8.86328125" style="13"/>
    <col min="11280" max="11280" width="7" style="13" customWidth="1"/>
    <col min="11281" max="11520" width="8.86328125" style="13"/>
    <col min="11521" max="11521" width="3" style="13" customWidth="1"/>
    <col min="11522" max="11522" width="4.1328125" style="13" customWidth="1"/>
    <col min="11523" max="11523" width="54" style="13" customWidth="1"/>
    <col min="11524" max="11524" width="3.73046875" style="13" customWidth="1"/>
    <col min="11525" max="11525" width="90.265625" style="13" customWidth="1"/>
    <col min="11526" max="11527" width="8.86328125" style="13"/>
    <col min="11528" max="11528" width="15.3984375" style="13" customWidth="1"/>
    <col min="11529" max="11529" width="5.1328125" style="13" customWidth="1"/>
    <col min="11530" max="11531" width="8.86328125" style="13"/>
    <col min="11532" max="11532" width="3" style="13" customWidth="1"/>
    <col min="11533" max="11535" width="8.86328125" style="13"/>
    <col min="11536" max="11536" width="7" style="13" customWidth="1"/>
    <col min="11537" max="11776" width="8.86328125" style="13"/>
    <col min="11777" max="11777" width="3" style="13" customWidth="1"/>
    <col min="11778" max="11778" width="4.1328125" style="13" customWidth="1"/>
    <col min="11779" max="11779" width="54" style="13" customWidth="1"/>
    <col min="11780" max="11780" width="3.73046875" style="13" customWidth="1"/>
    <col min="11781" max="11781" width="90.265625" style="13" customWidth="1"/>
    <col min="11782" max="11783" width="8.86328125" style="13"/>
    <col min="11784" max="11784" width="15.3984375" style="13" customWidth="1"/>
    <col min="11785" max="11785" width="5.1328125" style="13" customWidth="1"/>
    <col min="11786" max="11787" width="8.86328125" style="13"/>
    <col min="11788" max="11788" width="3" style="13" customWidth="1"/>
    <col min="11789" max="11791" width="8.86328125" style="13"/>
    <col min="11792" max="11792" width="7" style="13" customWidth="1"/>
    <col min="11793" max="12032" width="8.86328125" style="13"/>
    <col min="12033" max="12033" width="3" style="13" customWidth="1"/>
    <col min="12034" max="12034" width="4.1328125" style="13" customWidth="1"/>
    <col min="12035" max="12035" width="54" style="13" customWidth="1"/>
    <col min="12036" max="12036" width="3.73046875" style="13" customWidth="1"/>
    <col min="12037" max="12037" width="90.265625" style="13" customWidth="1"/>
    <col min="12038" max="12039" width="8.86328125" style="13"/>
    <col min="12040" max="12040" width="15.3984375" style="13" customWidth="1"/>
    <col min="12041" max="12041" width="5.1328125" style="13" customWidth="1"/>
    <col min="12042" max="12043" width="8.86328125" style="13"/>
    <col min="12044" max="12044" width="3" style="13" customWidth="1"/>
    <col min="12045" max="12047" width="8.86328125" style="13"/>
    <col min="12048" max="12048" width="7" style="13" customWidth="1"/>
    <col min="12049" max="12288" width="8.86328125" style="13"/>
    <col min="12289" max="12289" width="3" style="13" customWidth="1"/>
    <col min="12290" max="12290" width="4.1328125" style="13" customWidth="1"/>
    <col min="12291" max="12291" width="54" style="13" customWidth="1"/>
    <col min="12292" max="12292" width="3.73046875" style="13" customWidth="1"/>
    <col min="12293" max="12293" width="90.265625" style="13" customWidth="1"/>
    <col min="12294" max="12295" width="8.86328125" style="13"/>
    <col min="12296" max="12296" width="15.3984375" style="13" customWidth="1"/>
    <col min="12297" max="12297" width="5.1328125" style="13" customWidth="1"/>
    <col min="12298" max="12299" width="8.86328125" style="13"/>
    <col min="12300" max="12300" width="3" style="13" customWidth="1"/>
    <col min="12301" max="12303" width="8.86328125" style="13"/>
    <col min="12304" max="12304" width="7" style="13" customWidth="1"/>
    <col min="12305" max="12544" width="8.86328125" style="13"/>
    <col min="12545" max="12545" width="3" style="13" customWidth="1"/>
    <col min="12546" max="12546" width="4.1328125" style="13" customWidth="1"/>
    <col min="12547" max="12547" width="54" style="13" customWidth="1"/>
    <col min="12548" max="12548" width="3.73046875" style="13" customWidth="1"/>
    <col min="12549" max="12549" width="90.265625" style="13" customWidth="1"/>
    <col min="12550" max="12551" width="8.86328125" style="13"/>
    <col min="12552" max="12552" width="15.3984375" style="13" customWidth="1"/>
    <col min="12553" max="12553" width="5.1328125" style="13" customWidth="1"/>
    <col min="12554" max="12555" width="8.86328125" style="13"/>
    <col min="12556" max="12556" width="3" style="13" customWidth="1"/>
    <col min="12557" max="12559" width="8.86328125" style="13"/>
    <col min="12560" max="12560" width="7" style="13" customWidth="1"/>
    <col min="12561" max="12800" width="8.86328125" style="13"/>
    <col min="12801" max="12801" width="3" style="13" customWidth="1"/>
    <col min="12802" max="12802" width="4.1328125" style="13" customWidth="1"/>
    <col min="12803" max="12803" width="54" style="13" customWidth="1"/>
    <col min="12804" max="12804" width="3.73046875" style="13" customWidth="1"/>
    <col min="12805" max="12805" width="90.265625" style="13" customWidth="1"/>
    <col min="12806" max="12807" width="8.86328125" style="13"/>
    <col min="12808" max="12808" width="15.3984375" style="13" customWidth="1"/>
    <col min="12809" max="12809" width="5.1328125" style="13" customWidth="1"/>
    <col min="12810" max="12811" width="8.86328125" style="13"/>
    <col min="12812" max="12812" width="3" style="13" customWidth="1"/>
    <col min="12813" max="12815" width="8.86328125" style="13"/>
    <col min="12816" max="12816" width="7" style="13" customWidth="1"/>
    <col min="12817" max="13056" width="8.86328125" style="13"/>
    <col min="13057" max="13057" width="3" style="13" customWidth="1"/>
    <col min="13058" max="13058" width="4.1328125" style="13" customWidth="1"/>
    <col min="13059" max="13059" width="54" style="13" customWidth="1"/>
    <col min="13060" max="13060" width="3.73046875" style="13" customWidth="1"/>
    <col min="13061" max="13061" width="90.265625" style="13" customWidth="1"/>
    <col min="13062" max="13063" width="8.86328125" style="13"/>
    <col min="13064" max="13064" width="15.3984375" style="13" customWidth="1"/>
    <col min="13065" max="13065" width="5.1328125" style="13" customWidth="1"/>
    <col min="13066" max="13067" width="8.86328125" style="13"/>
    <col min="13068" max="13068" width="3" style="13" customWidth="1"/>
    <col min="13069" max="13071" width="8.86328125" style="13"/>
    <col min="13072" max="13072" width="7" style="13" customWidth="1"/>
    <col min="13073" max="13312" width="8.86328125" style="13"/>
    <col min="13313" max="13313" width="3" style="13" customWidth="1"/>
    <col min="13314" max="13314" width="4.1328125" style="13" customWidth="1"/>
    <col min="13315" max="13315" width="54" style="13" customWidth="1"/>
    <col min="13316" max="13316" width="3.73046875" style="13" customWidth="1"/>
    <col min="13317" max="13317" width="90.265625" style="13" customWidth="1"/>
    <col min="13318" max="13319" width="8.86328125" style="13"/>
    <col min="13320" max="13320" width="15.3984375" style="13" customWidth="1"/>
    <col min="13321" max="13321" width="5.1328125" style="13" customWidth="1"/>
    <col min="13322" max="13323" width="8.86328125" style="13"/>
    <col min="13324" max="13324" width="3" style="13" customWidth="1"/>
    <col min="13325" max="13327" width="8.86328125" style="13"/>
    <col min="13328" max="13328" width="7" style="13" customWidth="1"/>
    <col min="13329" max="13568" width="8.86328125" style="13"/>
    <col min="13569" max="13569" width="3" style="13" customWidth="1"/>
    <col min="13570" max="13570" width="4.1328125" style="13" customWidth="1"/>
    <col min="13571" max="13571" width="54" style="13" customWidth="1"/>
    <col min="13572" max="13572" width="3.73046875" style="13" customWidth="1"/>
    <col min="13573" max="13573" width="90.265625" style="13" customWidth="1"/>
    <col min="13574" max="13575" width="8.86328125" style="13"/>
    <col min="13576" max="13576" width="15.3984375" style="13" customWidth="1"/>
    <col min="13577" max="13577" width="5.1328125" style="13" customWidth="1"/>
    <col min="13578" max="13579" width="8.86328125" style="13"/>
    <col min="13580" max="13580" width="3" style="13" customWidth="1"/>
    <col min="13581" max="13583" width="8.86328125" style="13"/>
    <col min="13584" max="13584" width="7" style="13" customWidth="1"/>
    <col min="13585" max="13824" width="8.86328125" style="13"/>
    <col min="13825" max="13825" width="3" style="13" customWidth="1"/>
    <col min="13826" max="13826" width="4.1328125" style="13" customWidth="1"/>
    <col min="13827" max="13827" width="54" style="13" customWidth="1"/>
    <col min="13828" max="13828" width="3.73046875" style="13" customWidth="1"/>
    <col min="13829" max="13829" width="90.265625" style="13" customWidth="1"/>
    <col min="13830" max="13831" width="8.86328125" style="13"/>
    <col min="13832" max="13832" width="15.3984375" style="13" customWidth="1"/>
    <col min="13833" max="13833" width="5.1328125" style="13" customWidth="1"/>
    <col min="13834" max="13835" width="8.86328125" style="13"/>
    <col min="13836" max="13836" width="3" style="13" customWidth="1"/>
    <col min="13837" max="13839" width="8.86328125" style="13"/>
    <col min="13840" max="13840" width="7" style="13" customWidth="1"/>
    <col min="13841" max="14080" width="8.86328125" style="13"/>
    <col min="14081" max="14081" width="3" style="13" customWidth="1"/>
    <col min="14082" max="14082" width="4.1328125" style="13" customWidth="1"/>
    <col min="14083" max="14083" width="54" style="13" customWidth="1"/>
    <col min="14084" max="14084" width="3.73046875" style="13" customWidth="1"/>
    <col min="14085" max="14085" width="90.265625" style="13" customWidth="1"/>
    <col min="14086" max="14087" width="8.86328125" style="13"/>
    <col min="14088" max="14088" width="15.3984375" style="13" customWidth="1"/>
    <col min="14089" max="14089" width="5.1328125" style="13" customWidth="1"/>
    <col min="14090" max="14091" width="8.86328125" style="13"/>
    <col min="14092" max="14092" width="3" style="13" customWidth="1"/>
    <col min="14093" max="14095" width="8.86328125" style="13"/>
    <col min="14096" max="14096" width="7" style="13" customWidth="1"/>
    <col min="14097" max="14336" width="8.86328125" style="13"/>
    <col min="14337" max="14337" width="3" style="13" customWidth="1"/>
    <col min="14338" max="14338" width="4.1328125" style="13" customWidth="1"/>
    <col min="14339" max="14339" width="54" style="13" customWidth="1"/>
    <col min="14340" max="14340" width="3.73046875" style="13" customWidth="1"/>
    <col min="14341" max="14341" width="90.265625" style="13" customWidth="1"/>
    <col min="14342" max="14343" width="8.86328125" style="13"/>
    <col min="14344" max="14344" width="15.3984375" style="13" customWidth="1"/>
    <col min="14345" max="14345" width="5.1328125" style="13" customWidth="1"/>
    <col min="14346" max="14347" width="8.86328125" style="13"/>
    <col min="14348" max="14348" width="3" style="13" customWidth="1"/>
    <col min="14349" max="14351" width="8.86328125" style="13"/>
    <col min="14352" max="14352" width="7" style="13" customWidth="1"/>
    <col min="14353" max="14592" width="8.86328125" style="13"/>
    <col min="14593" max="14593" width="3" style="13" customWidth="1"/>
    <col min="14594" max="14594" width="4.1328125" style="13" customWidth="1"/>
    <col min="14595" max="14595" width="54" style="13" customWidth="1"/>
    <col min="14596" max="14596" width="3.73046875" style="13" customWidth="1"/>
    <col min="14597" max="14597" width="90.265625" style="13" customWidth="1"/>
    <col min="14598" max="14599" width="8.86328125" style="13"/>
    <col min="14600" max="14600" width="15.3984375" style="13" customWidth="1"/>
    <col min="14601" max="14601" width="5.1328125" style="13" customWidth="1"/>
    <col min="14602" max="14603" width="8.86328125" style="13"/>
    <col min="14604" max="14604" width="3" style="13" customWidth="1"/>
    <col min="14605" max="14607" width="8.86328125" style="13"/>
    <col min="14608" max="14608" width="7" style="13" customWidth="1"/>
    <col min="14609" max="14848" width="8.86328125" style="13"/>
    <col min="14849" max="14849" width="3" style="13" customWidth="1"/>
    <col min="14850" max="14850" width="4.1328125" style="13" customWidth="1"/>
    <col min="14851" max="14851" width="54" style="13" customWidth="1"/>
    <col min="14852" max="14852" width="3.73046875" style="13" customWidth="1"/>
    <col min="14853" max="14853" width="90.265625" style="13" customWidth="1"/>
    <col min="14854" max="14855" width="8.86328125" style="13"/>
    <col min="14856" max="14856" width="15.3984375" style="13" customWidth="1"/>
    <col min="14857" max="14857" width="5.1328125" style="13" customWidth="1"/>
    <col min="14858" max="14859" width="8.86328125" style="13"/>
    <col min="14860" max="14860" width="3" style="13" customWidth="1"/>
    <col min="14861" max="14863" width="8.86328125" style="13"/>
    <col min="14864" max="14864" width="7" style="13" customWidth="1"/>
    <col min="14865" max="15104" width="8.86328125" style="13"/>
    <col min="15105" max="15105" width="3" style="13" customWidth="1"/>
    <col min="15106" max="15106" width="4.1328125" style="13" customWidth="1"/>
    <col min="15107" max="15107" width="54" style="13" customWidth="1"/>
    <col min="15108" max="15108" width="3.73046875" style="13" customWidth="1"/>
    <col min="15109" max="15109" width="90.265625" style="13" customWidth="1"/>
    <col min="15110" max="15111" width="8.86328125" style="13"/>
    <col min="15112" max="15112" width="15.3984375" style="13" customWidth="1"/>
    <col min="15113" max="15113" width="5.1328125" style="13" customWidth="1"/>
    <col min="15114" max="15115" width="8.86328125" style="13"/>
    <col min="15116" max="15116" width="3" style="13" customWidth="1"/>
    <col min="15117" max="15119" width="8.86328125" style="13"/>
    <col min="15120" max="15120" width="7" style="13" customWidth="1"/>
    <col min="15121" max="15360" width="8.86328125" style="13"/>
    <col min="15361" max="15361" width="3" style="13" customWidth="1"/>
    <col min="15362" max="15362" width="4.1328125" style="13" customWidth="1"/>
    <col min="15363" max="15363" width="54" style="13" customWidth="1"/>
    <col min="15364" max="15364" width="3.73046875" style="13" customWidth="1"/>
    <col min="15365" max="15365" width="90.265625" style="13" customWidth="1"/>
    <col min="15366" max="15367" width="8.86328125" style="13"/>
    <col min="15368" max="15368" width="15.3984375" style="13" customWidth="1"/>
    <col min="15369" max="15369" width="5.1328125" style="13" customWidth="1"/>
    <col min="15370" max="15371" width="8.86328125" style="13"/>
    <col min="15372" max="15372" width="3" style="13" customWidth="1"/>
    <col min="15373" max="15375" width="8.86328125" style="13"/>
    <col min="15376" max="15376" width="7" style="13" customWidth="1"/>
    <col min="15377" max="15616" width="8.86328125" style="13"/>
    <col min="15617" max="15617" width="3" style="13" customWidth="1"/>
    <col min="15618" max="15618" width="4.1328125" style="13" customWidth="1"/>
    <col min="15619" max="15619" width="54" style="13" customWidth="1"/>
    <col min="15620" max="15620" width="3.73046875" style="13" customWidth="1"/>
    <col min="15621" max="15621" width="90.265625" style="13" customWidth="1"/>
    <col min="15622" max="15623" width="8.86328125" style="13"/>
    <col min="15624" max="15624" width="15.3984375" style="13" customWidth="1"/>
    <col min="15625" max="15625" width="5.1328125" style="13" customWidth="1"/>
    <col min="15626" max="15627" width="8.86328125" style="13"/>
    <col min="15628" max="15628" width="3" style="13" customWidth="1"/>
    <col min="15629" max="15631" width="8.86328125" style="13"/>
    <col min="15632" max="15632" width="7" style="13" customWidth="1"/>
    <col min="15633" max="15872" width="8.86328125" style="13"/>
    <col min="15873" max="15873" width="3" style="13" customWidth="1"/>
    <col min="15874" max="15874" width="4.1328125" style="13" customWidth="1"/>
    <col min="15875" max="15875" width="54" style="13" customWidth="1"/>
    <col min="15876" max="15876" width="3.73046875" style="13" customWidth="1"/>
    <col min="15877" max="15877" width="90.265625" style="13" customWidth="1"/>
    <col min="15878" max="15879" width="8.86328125" style="13"/>
    <col min="15880" max="15880" width="15.3984375" style="13" customWidth="1"/>
    <col min="15881" max="15881" width="5.1328125" style="13" customWidth="1"/>
    <col min="15882" max="15883" width="8.86328125" style="13"/>
    <col min="15884" max="15884" width="3" style="13" customWidth="1"/>
    <col min="15885" max="15887" width="8.86328125" style="13"/>
    <col min="15888" max="15888" width="7" style="13" customWidth="1"/>
    <col min="15889" max="16128" width="8.86328125" style="13"/>
    <col min="16129" max="16129" width="3" style="13" customWidth="1"/>
    <col min="16130" max="16130" width="4.1328125" style="13" customWidth="1"/>
    <col min="16131" max="16131" width="54" style="13" customWidth="1"/>
    <col min="16132" max="16132" width="3.73046875" style="13" customWidth="1"/>
    <col min="16133" max="16133" width="90.265625" style="13" customWidth="1"/>
    <col min="16134" max="16135" width="8.86328125" style="13"/>
    <col min="16136" max="16136" width="15.3984375" style="13" customWidth="1"/>
    <col min="16137" max="16137" width="5.1328125" style="13" customWidth="1"/>
    <col min="16138" max="16139" width="8.86328125" style="13"/>
    <col min="16140" max="16140" width="3" style="13" customWidth="1"/>
    <col min="16141" max="16143" width="8.86328125" style="13"/>
    <col min="16144" max="16144" width="7" style="13" customWidth="1"/>
    <col min="16145" max="16384" width="8.86328125" style="13"/>
  </cols>
  <sheetData>
    <row r="1" ht="30" customHeight="1" x14ac:dyDescent="0.45"/>
    <row r="2" ht="9.9499999999999993" customHeight="1" x14ac:dyDescent="0.45"/>
    <row r="3" ht="25.5" customHeight="1" x14ac:dyDescent="0.45"/>
    <row r="4" ht="21" customHeight="1" x14ac:dyDescent="0.45"/>
    <row r="6" ht="17.100000000000001" customHeight="1" x14ac:dyDescent="0.45"/>
    <row r="7" ht="17.100000000000001" customHeight="1" x14ac:dyDescent="0.45"/>
    <row r="8" ht="17.100000000000001" customHeight="1" x14ac:dyDescent="0.45"/>
    <row r="9" ht="17.100000000000001" customHeight="1" x14ac:dyDescent="0.45"/>
    <row r="10" ht="17.100000000000001" customHeight="1" x14ac:dyDescent="0.45"/>
    <row r="11" ht="17.100000000000001" customHeight="1" x14ac:dyDescent="0.45"/>
    <row r="12" ht="17.100000000000001" customHeight="1" x14ac:dyDescent="0.45"/>
    <row r="13" ht="17.100000000000001" customHeight="1" x14ac:dyDescent="0.45"/>
    <row r="14" ht="17.100000000000001" customHeight="1" x14ac:dyDescent="0.45"/>
    <row r="15" ht="17.100000000000001" customHeight="1" x14ac:dyDescent="0.45"/>
    <row r="16" ht="17.100000000000001" customHeight="1" x14ac:dyDescent="0.45"/>
    <row r="17" ht="17.100000000000001" customHeight="1" x14ac:dyDescent="0.45"/>
    <row r="18" ht="17.100000000000001" customHeight="1" x14ac:dyDescent="0.45"/>
    <row r="19" ht="17.100000000000001" customHeight="1" x14ac:dyDescent="0.45"/>
    <row r="40" spans="2:3" x14ac:dyDescent="0.45">
      <c r="B40" s="14"/>
      <c r="C40" s="1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08974-A1C1-48AD-A7DC-5803C34A677A}">
  <dimension ref="A1:EH96"/>
  <sheetViews>
    <sheetView tabSelected="1" workbookViewId="0">
      <pane xSplit="5" ySplit="1" topLeftCell="F2" activePane="bottomRight" state="frozenSplit"/>
      <selection pane="topRight" activeCell="F1" sqref="F1"/>
      <selection pane="bottomLeft" activeCell="A2" sqref="A2"/>
      <selection pane="bottomRight"/>
    </sheetView>
  </sheetViews>
  <sheetFormatPr defaultRowHeight="14.25" x14ac:dyDescent="0.45"/>
  <cols>
    <col min="1" max="4" width="3" style="8" customWidth="1"/>
    <col min="5" max="5" width="32.1328125" style="8" customWidth="1"/>
    <col min="6" max="6" width="8.73046875" bestFit="1" customWidth="1"/>
    <col min="7" max="7" width="2.265625" customWidth="1"/>
    <col min="8" max="8" width="8.3984375" bestFit="1" customWidth="1"/>
    <col min="9" max="9" width="2.265625" customWidth="1"/>
    <col min="10" max="10" width="8.3984375" bestFit="1" customWidth="1"/>
    <col min="11" max="11" width="2.265625" customWidth="1"/>
    <col min="12" max="12" width="8.73046875" bestFit="1" customWidth="1"/>
    <col min="13" max="13" width="2.265625" customWidth="1"/>
    <col min="14" max="14" width="8.73046875" bestFit="1" customWidth="1"/>
    <col min="15" max="15" width="2.265625" customWidth="1"/>
    <col min="16" max="16" width="8.73046875" bestFit="1" customWidth="1"/>
    <col min="17" max="17" width="2.265625" customWidth="1"/>
    <col min="18" max="18" width="8.73046875" bestFit="1" customWidth="1"/>
    <col min="19" max="19" width="2.265625" customWidth="1"/>
    <col min="20" max="20" width="8.73046875" bestFit="1" customWidth="1"/>
    <col min="21" max="21" width="2.265625" customWidth="1"/>
    <col min="22" max="22" width="8.73046875" bestFit="1" customWidth="1"/>
    <col min="23" max="23" width="2.265625" customWidth="1"/>
    <col min="24" max="24" width="8.73046875" bestFit="1" customWidth="1"/>
    <col min="25" max="25" width="2.265625" customWidth="1"/>
    <col min="26" max="26" width="8.73046875" bestFit="1" customWidth="1"/>
    <col min="27" max="27" width="2.265625" customWidth="1"/>
    <col min="28" max="28" width="8.73046875" bestFit="1" customWidth="1"/>
    <col min="29" max="29" width="2.265625" customWidth="1"/>
    <col min="30" max="30" width="8.73046875" bestFit="1" customWidth="1"/>
    <col min="31" max="31" width="2.265625" customWidth="1"/>
    <col min="32" max="32" width="8.73046875" bestFit="1" customWidth="1"/>
    <col min="33" max="33" width="2.265625" customWidth="1"/>
    <col min="34" max="34" width="8.73046875" bestFit="1" customWidth="1"/>
    <col min="35" max="35" width="2.265625" customWidth="1"/>
    <col min="36" max="36" width="8.73046875" bestFit="1" customWidth="1"/>
    <col min="37" max="37" width="2.265625" customWidth="1"/>
    <col min="38" max="38" width="8.73046875" bestFit="1" customWidth="1"/>
    <col min="39" max="39" width="2.265625" customWidth="1"/>
    <col min="40" max="40" width="8.73046875" bestFit="1" customWidth="1"/>
    <col min="41" max="41" width="2.265625" customWidth="1"/>
    <col min="42" max="42" width="8.73046875" bestFit="1" customWidth="1"/>
    <col min="43" max="43" width="2.265625" customWidth="1"/>
    <col min="44" max="44" width="8.73046875" bestFit="1" customWidth="1"/>
    <col min="45" max="45" width="2.265625" customWidth="1"/>
    <col min="46" max="46" width="8.73046875" bestFit="1" customWidth="1"/>
    <col min="47" max="47" width="2.265625" customWidth="1"/>
    <col min="48" max="48" width="8.73046875" bestFit="1" customWidth="1"/>
    <col min="49" max="49" width="2.265625" customWidth="1"/>
    <col min="50" max="50" width="8.73046875" bestFit="1" customWidth="1"/>
    <col min="51" max="51" width="2.265625" customWidth="1"/>
    <col min="52" max="52" width="8.3984375" bestFit="1" customWidth="1"/>
    <col min="53" max="53" width="2.265625" customWidth="1"/>
    <col min="54" max="54" width="8.73046875" bestFit="1" customWidth="1"/>
    <col min="55" max="55" width="2.265625" customWidth="1"/>
    <col min="56" max="56" width="8.73046875" bestFit="1" customWidth="1"/>
    <col min="57" max="57" width="2.265625" customWidth="1"/>
    <col min="58" max="58" width="9.265625" bestFit="1" customWidth="1"/>
    <col min="59" max="59" width="2.265625" customWidth="1"/>
    <col min="60" max="60" width="8.73046875" bestFit="1" customWidth="1"/>
    <col min="61" max="61" width="2.265625" customWidth="1"/>
    <col min="62" max="62" width="8.73046875" bestFit="1" customWidth="1"/>
    <col min="63" max="63" width="2.265625" customWidth="1"/>
    <col min="64" max="64" width="8.73046875" bestFit="1" customWidth="1"/>
    <col min="65" max="65" width="2.265625" customWidth="1"/>
    <col min="66" max="66" width="9.265625" bestFit="1" customWidth="1"/>
    <col min="67" max="67" width="2.265625" customWidth="1"/>
    <col min="68" max="68" width="8.73046875" bestFit="1" customWidth="1"/>
    <col min="69" max="69" width="2.265625" customWidth="1"/>
    <col min="70" max="70" width="8.73046875" bestFit="1" customWidth="1"/>
    <col min="71" max="71" width="2.265625" customWidth="1"/>
    <col min="72" max="72" width="8.73046875" bestFit="1" customWidth="1"/>
    <col min="73" max="73" width="2.265625" customWidth="1"/>
    <col min="74" max="74" width="8.73046875" bestFit="1" customWidth="1"/>
    <col min="75" max="75" width="2.265625" customWidth="1"/>
    <col min="76" max="76" width="9.265625" bestFit="1" customWidth="1"/>
    <col min="77" max="77" width="2.265625" customWidth="1"/>
    <col min="78" max="78" width="8.3984375" bestFit="1" customWidth="1"/>
    <col min="79" max="79" width="2.265625" customWidth="1"/>
    <col min="80" max="80" width="8.73046875" bestFit="1" customWidth="1"/>
    <col min="81" max="81" width="2.265625" customWidth="1"/>
    <col min="82" max="82" width="8.73046875" bestFit="1" customWidth="1"/>
    <col min="83" max="83" width="2.265625" customWidth="1"/>
    <col min="84" max="84" width="8.73046875" bestFit="1" customWidth="1"/>
    <col min="85" max="85" width="2.265625" customWidth="1"/>
    <col min="86" max="86" width="8.73046875" bestFit="1" customWidth="1"/>
    <col min="87" max="87" width="2.265625" customWidth="1"/>
    <col min="88" max="88" width="8.73046875" bestFit="1" customWidth="1"/>
    <col min="89" max="89" width="2.265625" customWidth="1"/>
    <col min="90" max="90" width="8.73046875" bestFit="1" customWidth="1"/>
    <col min="91" max="91" width="2.265625" customWidth="1"/>
    <col min="92" max="92" width="8.73046875" bestFit="1" customWidth="1"/>
    <col min="93" max="93" width="2.265625" customWidth="1"/>
    <col min="94" max="94" width="8.73046875" bestFit="1" customWidth="1"/>
    <col min="95" max="95" width="2.265625" customWidth="1"/>
    <col min="96" max="96" width="8.73046875" bestFit="1" customWidth="1"/>
    <col min="97" max="97" width="2.265625" customWidth="1"/>
    <col min="98" max="98" width="8.73046875" bestFit="1" customWidth="1"/>
    <col min="99" max="99" width="2.265625" customWidth="1"/>
    <col min="100" max="100" width="9.265625" bestFit="1" customWidth="1"/>
    <col min="101" max="101" width="2.265625" customWidth="1"/>
    <col min="102" max="102" width="8.73046875" bestFit="1" customWidth="1"/>
    <col min="103" max="103" width="2.265625" customWidth="1"/>
    <col min="104" max="104" width="8.73046875" bestFit="1" customWidth="1"/>
    <col min="105" max="105" width="2.265625" customWidth="1"/>
    <col min="106" max="106" width="9.265625" bestFit="1" customWidth="1"/>
    <col min="107" max="107" width="2.265625" customWidth="1"/>
    <col min="108" max="108" width="8.73046875" bestFit="1" customWidth="1"/>
    <col min="109" max="109" width="2.265625" customWidth="1"/>
    <col min="110" max="110" width="8.73046875" bestFit="1" customWidth="1"/>
    <col min="111" max="111" width="2.265625" customWidth="1"/>
    <col min="112" max="112" width="8.73046875" bestFit="1" customWidth="1"/>
    <col min="113" max="113" width="2.265625" customWidth="1"/>
    <col min="114" max="114" width="8.73046875" bestFit="1" customWidth="1"/>
    <col min="115" max="115" width="2.265625" customWidth="1"/>
    <col min="116" max="116" width="8.73046875" bestFit="1" customWidth="1"/>
    <col min="117" max="117" width="2.265625" customWidth="1"/>
    <col min="118" max="118" width="8.73046875" bestFit="1" customWidth="1"/>
    <col min="119" max="119" width="2.265625" customWidth="1"/>
    <col min="120" max="120" width="8.73046875" bestFit="1" customWidth="1"/>
    <col min="121" max="121" width="2.265625" customWidth="1"/>
    <col min="122" max="122" width="8.73046875" bestFit="1" customWidth="1"/>
    <col min="123" max="123" width="2.265625" customWidth="1"/>
    <col min="124" max="124" width="9.265625" bestFit="1" customWidth="1"/>
    <col min="125" max="125" width="2.265625" customWidth="1"/>
    <col min="126" max="126" width="8.73046875" bestFit="1" customWidth="1"/>
    <col min="127" max="127" width="2.265625" customWidth="1"/>
    <col min="128" max="128" width="8.73046875" bestFit="1" customWidth="1"/>
    <col min="129" max="129" width="2.265625" customWidth="1"/>
    <col min="130" max="130" width="8.73046875" bestFit="1" customWidth="1"/>
    <col min="131" max="131" width="2.265625" customWidth="1"/>
    <col min="132" max="132" width="9.265625" bestFit="1" customWidth="1"/>
    <col min="133" max="133" width="2.265625" customWidth="1"/>
    <col min="134" max="134" width="8.73046875" bestFit="1" customWidth="1"/>
    <col min="135" max="135" width="2.265625" customWidth="1"/>
    <col min="136" max="136" width="8.73046875" bestFit="1" customWidth="1"/>
    <col min="137" max="137" width="2.265625" customWidth="1"/>
    <col min="138" max="138" width="10.86328125" bestFit="1" customWidth="1"/>
  </cols>
  <sheetData>
    <row r="1" spans="1:138" s="12" customFormat="1" ht="14.65" thickBot="1" x14ac:dyDescent="0.5">
      <c r="A1" s="9"/>
      <c r="B1" s="9"/>
      <c r="C1" s="9"/>
      <c r="D1" s="9"/>
      <c r="E1" s="9"/>
      <c r="F1" s="10" t="s">
        <v>0</v>
      </c>
      <c r="G1" s="11"/>
      <c r="H1" s="10" t="s">
        <v>1</v>
      </c>
      <c r="I1" s="11"/>
      <c r="J1" s="10" t="s">
        <v>2</v>
      </c>
      <c r="K1" s="11"/>
      <c r="L1" s="10" t="s">
        <v>3</v>
      </c>
      <c r="M1" s="11"/>
      <c r="N1" s="10" t="s">
        <v>4</v>
      </c>
      <c r="O1" s="11"/>
      <c r="P1" s="10" t="s">
        <v>5</v>
      </c>
      <c r="Q1" s="11"/>
      <c r="R1" s="10" t="s">
        <v>6</v>
      </c>
      <c r="S1" s="11"/>
      <c r="T1" s="10" t="s">
        <v>7</v>
      </c>
      <c r="U1" s="11"/>
      <c r="V1" s="10" t="s">
        <v>8</v>
      </c>
      <c r="W1" s="11"/>
      <c r="X1" s="10" t="s">
        <v>9</v>
      </c>
      <c r="Y1" s="11"/>
      <c r="Z1" s="10" t="s">
        <v>10</v>
      </c>
      <c r="AA1" s="11"/>
      <c r="AB1" s="10" t="s">
        <v>11</v>
      </c>
      <c r="AC1" s="11"/>
      <c r="AD1" s="10" t="s">
        <v>12</v>
      </c>
      <c r="AE1" s="11"/>
      <c r="AF1" s="10" t="s">
        <v>13</v>
      </c>
      <c r="AG1" s="11"/>
      <c r="AH1" s="10" t="s">
        <v>14</v>
      </c>
      <c r="AI1" s="11"/>
      <c r="AJ1" s="10" t="s">
        <v>15</v>
      </c>
      <c r="AK1" s="11"/>
      <c r="AL1" s="10" t="s">
        <v>16</v>
      </c>
      <c r="AM1" s="11"/>
      <c r="AN1" s="10" t="s">
        <v>17</v>
      </c>
      <c r="AO1" s="11"/>
      <c r="AP1" s="10" t="s">
        <v>18</v>
      </c>
      <c r="AQ1" s="11"/>
      <c r="AR1" s="10" t="s">
        <v>19</v>
      </c>
      <c r="AS1" s="11"/>
      <c r="AT1" s="10" t="s">
        <v>20</v>
      </c>
      <c r="AU1" s="11"/>
      <c r="AV1" s="10" t="s">
        <v>21</v>
      </c>
      <c r="AW1" s="11"/>
      <c r="AX1" s="10" t="s">
        <v>22</v>
      </c>
      <c r="AY1" s="11"/>
      <c r="AZ1" s="10" t="s">
        <v>23</v>
      </c>
      <c r="BA1" s="11"/>
      <c r="BB1" s="10" t="s">
        <v>24</v>
      </c>
      <c r="BC1" s="11"/>
      <c r="BD1" s="10" t="s">
        <v>25</v>
      </c>
      <c r="BE1" s="11"/>
      <c r="BF1" s="10" t="s">
        <v>26</v>
      </c>
      <c r="BG1" s="11"/>
      <c r="BH1" s="10" t="s">
        <v>27</v>
      </c>
      <c r="BI1" s="11"/>
      <c r="BJ1" s="10" t="s">
        <v>28</v>
      </c>
      <c r="BK1" s="11"/>
      <c r="BL1" s="10" t="s">
        <v>29</v>
      </c>
      <c r="BM1" s="11"/>
      <c r="BN1" s="10" t="s">
        <v>30</v>
      </c>
      <c r="BO1" s="11"/>
      <c r="BP1" s="10" t="s">
        <v>31</v>
      </c>
      <c r="BQ1" s="11"/>
      <c r="BR1" s="10" t="s">
        <v>32</v>
      </c>
      <c r="BS1" s="11"/>
      <c r="BT1" s="10" t="s">
        <v>33</v>
      </c>
      <c r="BU1" s="11"/>
      <c r="BV1" s="10" t="s">
        <v>34</v>
      </c>
      <c r="BW1" s="11"/>
      <c r="BX1" s="10" t="s">
        <v>35</v>
      </c>
      <c r="BY1" s="11"/>
      <c r="BZ1" s="10" t="s">
        <v>36</v>
      </c>
      <c r="CA1" s="11"/>
      <c r="CB1" s="10" t="s">
        <v>37</v>
      </c>
      <c r="CC1" s="11"/>
      <c r="CD1" s="10" t="s">
        <v>38</v>
      </c>
      <c r="CE1" s="11"/>
      <c r="CF1" s="10" t="s">
        <v>39</v>
      </c>
      <c r="CG1" s="11"/>
      <c r="CH1" s="10" t="s">
        <v>40</v>
      </c>
      <c r="CI1" s="11"/>
      <c r="CJ1" s="10" t="s">
        <v>41</v>
      </c>
      <c r="CK1" s="11"/>
      <c r="CL1" s="10" t="s">
        <v>42</v>
      </c>
      <c r="CM1" s="11"/>
      <c r="CN1" s="10" t="s">
        <v>43</v>
      </c>
      <c r="CO1" s="11"/>
      <c r="CP1" s="10" t="s">
        <v>44</v>
      </c>
      <c r="CQ1" s="11"/>
      <c r="CR1" s="10" t="s">
        <v>45</v>
      </c>
      <c r="CS1" s="11"/>
      <c r="CT1" s="10" t="s">
        <v>46</v>
      </c>
      <c r="CU1" s="11"/>
      <c r="CV1" s="10" t="s">
        <v>47</v>
      </c>
      <c r="CW1" s="11"/>
      <c r="CX1" s="10" t="s">
        <v>48</v>
      </c>
      <c r="CY1" s="11"/>
      <c r="CZ1" s="10" t="s">
        <v>49</v>
      </c>
      <c r="DA1" s="11"/>
      <c r="DB1" s="10" t="s">
        <v>50</v>
      </c>
      <c r="DC1" s="11"/>
      <c r="DD1" s="10" t="s">
        <v>51</v>
      </c>
      <c r="DE1" s="11"/>
      <c r="DF1" s="10" t="s">
        <v>52</v>
      </c>
      <c r="DG1" s="11"/>
      <c r="DH1" s="10" t="s">
        <v>53</v>
      </c>
      <c r="DI1" s="11"/>
      <c r="DJ1" s="10" t="s">
        <v>54</v>
      </c>
      <c r="DK1" s="11"/>
      <c r="DL1" s="10" t="s">
        <v>55</v>
      </c>
      <c r="DM1" s="11"/>
      <c r="DN1" s="10" t="s">
        <v>56</v>
      </c>
      <c r="DO1" s="11"/>
      <c r="DP1" s="10" t="s">
        <v>57</v>
      </c>
      <c r="DQ1" s="11"/>
      <c r="DR1" s="10" t="s">
        <v>58</v>
      </c>
      <c r="DS1" s="11"/>
      <c r="DT1" s="10" t="s">
        <v>59</v>
      </c>
      <c r="DU1" s="11"/>
      <c r="DV1" s="10" t="s">
        <v>60</v>
      </c>
      <c r="DW1" s="11"/>
      <c r="DX1" s="10" t="s">
        <v>61</v>
      </c>
      <c r="DY1" s="11"/>
      <c r="DZ1" s="10" t="s">
        <v>62</v>
      </c>
      <c r="EA1" s="11"/>
      <c r="EB1" s="10" t="s">
        <v>63</v>
      </c>
      <c r="EC1" s="11"/>
      <c r="ED1" s="10" t="s">
        <v>64</v>
      </c>
      <c r="EE1" s="11"/>
      <c r="EF1" s="10" t="s">
        <v>65</v>
      </c>
      <c r="EG1" s="11"/>
      <c r="EH1" s="10" t="s">
        <v>66</v>
      </c>
    </row>
    <row r="2" spans="1:138" ht="14.65" thickTop="1" x14ac:dyDescent="0.45">
      <c r="A2" s="1"/>
      <c r="B2" s="1" t="s">
        <v>67</v>
      </c>
      <c r="C2" s="1"/>
      <c r="D2" s="1"/>
      <c r="E2" s="1"/>
      <c r="F2" s="2"/>
      <c r="G2" s="3"/>
      <c r="H2" s="2"/>
      <c r="I2" s="3"/>
      <c r="J2" s="2"/>
      <c r="K2" s="3"/>
      <c r="L2" s="2"/>
      <c r="M2" s="3"/>
      <c r="N2" s="2"/>
      <c r="O2" s="3"/>
      <c r="P2" s="2"/>
      <c r="Q2" s="3"/>
      <c r="R2" s="2"/>
      <c r="S2" s="3"/>
      <c r="T2" s="2"/>
      <c r="U2" s="3"/>
      <c r="V2" s="2"/>
      <c r="W2" s="3"/>
      <c r="X2" s="2"/>
      <c r="Y2" s="3"/>
      <c r="Z2" s="2"/>
      <c r="AA2" s="3"/>
      <c r="AB2" s="2"/>
      <c r="AC2" s="3"/>
      <c r="AD2" s="2"/>
      <c r="AE2" s="3"/>
      <c r="AF2" s="2"/>
      <c r="AG2" s="3"/>
      <c r="AH2" s="2"/>
      <c r="AI2" s="3"/>
      <c r="AJ2" s="2"/>
      <c r="AK2" s="3"/>
      <c r="AL2" s="2"/>
      <c r="AM2" s="3"/>
      <c r="AN2" s="2"/>
      <c r="AO2" s="3"/>
      <c r="AP2" s="2"/>
      <c r="AQ2" s="3"/>
      <c r="AR2" s="2"/>
      <c r="AS2" s="3"/>
      <c r="AT2" s="2"/>
      <c r="AU2" s="3"/>
      <c r="AV2" s="2"/>
      <c r="AW2" s="3"/>
      <c r="AX2" s="2"/>
      <c r="AY2" s="3"/>
      <c r="AZ2" s="2"/>
      <c r="BA2" s="3"/>
      <c r="BB2" s="2"/>
      <c r="BC2" s="3"/>
      <c r="BD2" s="2"/>
      <c r="BE2" s="3"/>
      <c r="BF2" s="2"/>
      <c r="BG2" s="3"/>
      <c r="BH2" s="2"/>
      <c r="BI2" s="3"/>
      <c r="BJ2" s="2"/>
      <c r="BK2" s="3"/>
      <c r="BL2" s="2"/>
      <c r="BM2" s="3"/>
      <c r="BN2" s="2"/>
      <c r="BO2" s="3"/>
      <c r="BP2" s="2"/>
      <c r="BQ2" s="3"/>
      <c r="BR2" s="2"/>
      <c r="BS2" s="3"/>
      <c r="BT2" s="2"/>
      <c r="BU2" s="3"/>
      <c r="BV2" s="2"/>
      <c r="BW2" s="3"/>
      <c r="BX2" s="2"/>
      <c r="BY2" s="3"/>
      <c r="BZ2" s="2"/>
      <c r="CA2" s="3"/>
      <c r="CB2" s="2"/>
      <c r="CC2" s="3"/>
      <c r="CD2" s="2"/>
      <c r="CE2" s="3"/>
      <c r="CF2" s="2"/>
      <c r="CG2" s="3"/>
      <c r="CH2" s="2"/>
      <c r="CI2" s="3"/>
      <c r="CJ2" s="2"/>
      <c r="CK2" s="3"/>
      <c r="CL2" s="2"/>
      <c r="CM2" s="3"/>
      <c r="CN2" s="2"/>
      <c r="CO2" s="3"/>
      <c r="CP2" s="2"/>
      <c r="CQ2" s="3"/>
      <c r="CR2" s="2"/>
      <c r="CS2" s="3"/>
      <c r="CT2" s="2"/>
      <c r="CU2" s="3"/>
      <c r="CV2" s="2"/>
      <c r="CW2" s="3"/>
      <c r="CX2" s="2"/>
      <c r="CY2" s="3"/>
      <c r="CZ2" s="2"/>
      <c r="DA2" s="3"/>
      <c r="DB2" s="2"/>
      <c r="DC2" s="3"/>
      <c r="DD2" s="2"/>
      <c r="DE2" s="3"/>
      <c r="DF2" s="2"/>
      <c r="DG2" s="3"/>
      <c r="DH2" s="2"/>
      <c r="DI2" s="3"/>
      <c r="DJ2" s="2"/>
      <c r="DK2" s="3"/>
      <c r="DL2" s="2"/>
      <c r="DM2" s="3"/>
      <c r="DN2" s="2"/>
      <c r="DO2" s="3"/>
      <c r="DP2" s="2"/>
      <c r="DQ2" s="3"/>
      <c r="DR2" s="2"/>
      <c r="DS2" s="3"/>
      <c r="DT2" s="2"/>
      <c r="DU2" s="3"/>
      <c r="DV2" s="2"/>
      <c r="DW2" s="3"/>
      <c r="DX2" s="2"/>
      <c r="DY2" s="3"/>
      <c r="DZ2" s="2"/>
      <c r="EA2" s="3"/>
      <c r="EB2" s="2"/>
      <c r="EC2" s="3"/>
      <c r="ED2" s="2"/>
      <c r="EE2" s="3"/>
      <c r="EF2" s="2"/>
      <c r="EG2" s="3"/>
      <c r="EH2" s="2"/>
    </row>
    <row r="3" spans="1:138" x14ac:dyDescent="0.45">
      <c r="A3" s="1"/>
      <c r="B3" s="1"/>
      <c r="C3" s="1"/>
      <c r="D3" s="1" t="s">
        <v>68</v>
      </c>
      <c r="E3" s="1"/>
      <c r="F3" s="2"/>
      <c r="G3" s="3"/>
      <c r="H3" s="2"/>
      <c r="I3" s="3"/>
      <c r="J3" s="2"/>
      <c r="K3" s="3"/>
      <c r="L3" s="2"/>
      <c r="M3" s="3"/>
      <c r="N3" s="2"/>
      <c r="O3" s="3"/>
      <c r="P3" s="2"/>
      <c r="Q3" s="3"/>
      <c r="R3" s="2"/>
      <c r="S3" s="3"/>
      <c r="T3" s="2"/>
      <c r="U3" s="3"/>
      <c r="V3" s="2"/>
      <c r="W3" s="3"/>
      <c r="X3" s="2"/>
      <c r="Y3" s="3"/>
      <c r="Z3" s="2"/>
      <c r="AA3" s="3"/>
      <c r="AB3" s="2"/>
      <c r="AC3" s="3"/>
      <c r="AD3" s="2"/>
      <c r="AE3" s="3"/>
      <c r="AF3" s="2"/>
      <c r="AG3" s="3"/>
      <c r="AH3" s="2"/>
      <c r="AI3" s="3"/>
      <c r="AJ3" s="2"/>
      <c r="AK3" s="3"/>
      <c r="AL3" s="2"/>
      <c r="AM3" s="3"/>
      <c r="AN3" s="2"/>
      <c r="AO3" s="3"/>
      <c r="AP3" s="2"/>
      <c r="AQ3" s="3"/>
      <c r="AR3" s="2"/>
      <c r="AS3" s="3"/>
      <c r="AT3" s="2"/>
      <c r="AU3" s="3"/>
      <c r="AV3" s="2"/>
      <c r="AW3" s="3"/>
      <c r="AX3" s="2"/>
      <c r="AY3" s="3"/>
      <c r="AZ3" s="2"/>
      <c r="BA3" s="3"/>
      <c r="BB3" s="2"/>
      <c r="BC3" s="3"/>
      <c r="BD3" s="2"/>
      <c r="BE3" s="3"/>
      <c r="BF3" s="2"/>
      <c r="BG3" s="3"/>
      <c r="BH3" s="2"/>
      <c r="BI3" s="3"/>
      <c r="BJ3" s="2"/>
      <c r="BK3" s="3"/>
      <c r="BL3" s="2"/>
      <c r="BM3" s="3"/>
      <c r="BN3" s="2"/>
      <c r="BO3" s="3"/>
      <c r="BP3" s="2"/>
      <c r="BQ3" s="3"/>
      <c r="BR3" s="2"/>
      <c r="BS3" s="3"/>
      <c r="BT3" s="2"/>
      <c r="BU3" s="3"/>
      <c r="BV3" s="2"/>
      <c r="BW3" s="3"/>
      <c r="BX3" s="2"/>
      <c r="BY3" s="3"/>
      <c r="BZ3" s="2"/>
      <c r="CA3" s="3"/>
      <c r="CB3" s="2"/>
      <c r="CC3" s="3"/>
      <c r="CD3" s="2"/>
      <c r="CE3" s="3"/>
      <c r="CF3" s="2"/>
      <c r="CG3" s="3"/>
      <c r="CH3" s="2"/>
      <c r="CI3" s="3"/>
      <c r="CJ3" s="2"/>
      <c r="CK3" s="3"/>
      <c r="CL3" s="2"/>
      <c r="CM3" s="3"/>
      <c r="CN3" s="2"/>
      <c r="CO3" s="3"/>
      <c r="CP3" s="2"/>
      <c r="CQ3" s="3"/>
      <c r="CR3" s="2"/>
      <c r="CS3" s="3"/>
      <c r="CT3" s="2"/>
      <c r="CU3" s="3"/>
      <c r="CV3" s="2"/>
      <c r="CW3" s="3"/>
      <c r="CX3" s="2"/>
      <c r="CY3" s="3"/>
      <c r="CZ3" s="2"/>
      <c r="DA3" s="3"/>
      <c r="DB3" s="2"/>
      <c r="DC3" s="3"/>
      <c r="DD3" s="2"/>
      <c r="DE3" s="3"/>
      <c r="DF3" s="2"/>
      <c r="DG3" s="3"/>
      <c r="DH3" s="2"/>
      <c r="DI3" s="3"/>
      <c r="DJ3" s="2"/>
      <c r="DK3" s="3"/>
      <c r="DL3" s="2"/>
      <c r="DM3" s="3"/>
      <c r="DN3" s="2"/>
      <c r="DO3" s="3"/>
      <c r="DP3" s="2"/>
      <c r="DQ3" s="3"/>
      <c r="DR3" s="2"/>
      <c r="DS3" s="3"/>
      <c r="DT3" s="2"/>
      <c r="DU3" s="3"/>
      <c r="DV3" s="2"/>
      <c r="DW3" s="3"/>
      <c r="DX3" s="2"/>
      <c r="DY3" s="3"/>
      <c r="DZ3" s="2"/>
      <c r="EA3" s="3"/>
      <c r="EB3" s="2"/>
      <c r="EC3" s="3"/>
      <c r="ED3" s="2"/>
      <c r="EE3" s="3"/>
      <c r="EF3" s="2"/>
      <c r="EG3" s="3"/>
      <c r="EH3" s="2"/>
    </row>
    <row r="4" spans="1:138" x14ac:dyDescent="0.45">
      <c r="A4" s="1"/>
      <c r="B4" s="1"/>
      <c r="C4" s="1"/>
      <c r="D4" s="1"/>
      <c r="E4" s="1" t="s">
        <v>69</v>
      </c>
      <c r="F4" s="2">
        <v>0</v>
      </c>
      <c r="G4" s="3"/>
      <c r="H4" s="2">
        <v>0</v>
      </c>
      <c r="I4" s="3"/>
      <c r="J4" s="2">
        <v>0</v>
      </c>
      <c r="K4" s="3"/>
      <c r="L4" s="2">
        <v>0</v>
      </c>
      <c r="M4" s="3"/>
      <c r="N4" s="2">
        <v>0</v>
      </c>
      <c r="O4" s="3"/>
      <c r="P4" s="2">
        <v>0</v>
      </c>
      <c r="Q4" s="3"/>
      <c r="R4" s="2">
        <v>0</v>
      </c>
      <c r="S4" s="3"/>
      <c r="T4" s="2">
        <v>0</v>
      </c>
      <c r="U4" s="3"/>
      <c r="V4" s="2">
        <v>0</v>
      </c>
      <c r="W4" s="3"/>
      <c r="X4" s="2">
        <v>0</v>
      </c>
      <c r="Y4" s="3"/>
      <c r="Z4" s="2">
        <v>0</v>
      </c>
      <c r="AA4" s="3"/>
      <c r="AB4" s="2">
        <v>0</v>
      </c>
      <c r="AC4" s="3"/>
      <c r="AD4" s="2">
        <v>0</v>
      </c>
      <c r="AE4" s="3"/>
      <c r="AF4" s="2">
        <v>0</v>
      </c>
      <c r="AG4" s="3"/>
      <c r="AH4" s="2">
        <v>0</v>
      </c>
      <c r="AI4" s="3"/>
      <c r="AJ4" s="2">
        <v>0</v>
      </c>
      <c r="AK4" s="3"/>
      <c r="AL4" s="2">
        <v>15446.47</v>
      </c>
      <c r="AM4" s="3"/>
      <c r="AN4" s="2">
        <v>10739.59</v>
      </c>
      <c r="AO4" s="3"/>
      <c r="AP4" s="2">
        <v>9466.0400000000009</v>
      </c>
      <c r="AQ4" s="3"/>
      <c r="AR4" s="2">
        <v>13763.95</v>
      </c>
      <c r="AS4" s="3"/>
      <c r="AT4" s="2">
        <v>8602.24</v>
      </c>
      <c r="AU4" s="3"/>
      <c r="AV4" s="2">
        <v>10884.9</v>
      </c>
      <c r="AW4" s="3"/>
      <c r="AX4" s="2">
        <v>15756</v>
      </c>
      <c r="AY4" s="3"/>
      <c r="AZ4" s="2">
        <v>6011</v>
      </c>
      <c r="BA4" s="3"/>
      <c r="BB4" s="2">
        <v>13769.75</v>
      </c>
      <c r="BC4" s="3"/>
      <c r="BD4" s="2">
        <v>8146</v>
      </c>
      <c r="BE4" s="3"/>
      <c r="BF4" s="2">
        <v>14141</v>
      </c>
      <c r="BG4" s="3"/>
      <c r="BH4" s="2">
        <v>10113.14</v>
      </c>
      <c r="BI4" s="3"/>
      <c r="BJ4" s="2">
        <v>10168.1</v>
      </c>
      <c r="BK4" s="3"/>
      <c r="BL4" s="2">
        <v>13308.7</v>
      </c>
      <c r="BM4" s="3"/>
      <c r="BN4" s="2">
        <v>11892</v>
      </c>
      <c r="BO4" s="3"/>
      <c r="BP4" s="2">
        <v>15784</v>
      </c>
      <c r="BQ4" s="3"/>
      <c r="BR4" s="2">
        <v>8352.8700000000008</v>
      </c>
      <c r="BS4" s="3"/>
      <c r="BT4" s="2">
        <v>10748.57</v>
      </c>
      <c r="BU4" s="3"/>
      <c r="BV4" s="2">
        <v>10192.83</v>
      </c>
      <c r="BW4" s="3"/>
      <c r="BX4" s="2">
        <v>5028</v>
      </c>
      <c r="BY4" s="3"/>
      <c r="BZ4" s="2">
        <v>3529</v>
      </c>
      <c r="CA4" s="3"/>
      <c r="CB4" s="2">
        <v>10954</v>
      </c>
      <c r="CC4" s="3"/>
      <c r="CD4" s="2">
        <v>7206</v>
      </c>
      <c r="CE4" s="3"/>
      <c r="CF4" s="2">
        <v>10326.86</v>
      </c>
      <c r="CG4" s="3"/>
      <c r="CH4" s="2">
        <v>9206</v>
      </c>
      <c r="CI4" s="3"/>
      <c r="CJ4" s="2">
        <v>7670.57</v>
      </c>
      <c r="CK4" s="3"/>
      <c r="CL4" s="2">
        <v>11108.2</v>
      </c>
      <c r="CM4" s="3"/>
      <c r="CN4" s="2">
        <v>15019</v>
      </c>
      <c r="CO4" s="3"/>
      <c r="CP4" s="2">
        <v>7221.18</v>
      </c>
      <c r="CQ4" s="3"/>
      <c r="CR4" s="2">
        <v>7945</v>
      </c>
      <c r="CS4" s="3"/>
      <c r="CT4" s="2">
        <v>7410</v>
      </c>
      <c r="CU4" s="3"/>
      <c r="CV4" s="2">
        <v>7536</v>
      </c>
      <c r="CW4" s="3"/>
      <c r="CX4" s="2">
        <v>11125</v>
      </c>
      <c r="CY4" s="3"/>
      <c r="CZ4" s="2">
        <v>7816</v>
      </c>
      <c r="DA4" s="3"/>
      <c r="DB4" s="2">
        <v>11402.78</v>
      </c>
      <c r="DC4" s="3"/>
      <c r="DD4" s="2">
        <v>13445.07</v>
      </c>
      <c r="DE4" s="3"/>
      <c r="DF4" s="2">
        <v>10583</v>
      </c>
      <c r="DG4" s="3"/>
      <c r="DH4" s="2">
        <v>8213.9500000000007</v>
      </c>
      <c r="DI4" s="3"/>
      <c r="DJ4" s="2">
        <v>11167</v>
      </c>
      <c r="DK4" s="3"/>
      <c r="DL4" s="2">
        <v>16800.39</v>
      </c>
      <c r="DM4" s="3"/>
      <c r="DN4" s="2">
        <v>11187</v>
      </c>
      <c r="DO4" s="3"/>
      <c r="DP4" s="2">
        <v>7548.27</v>
      </c>
      <c r="DQ4" s="3"/>
      <c r="DR4" s="2">
        <v>7025</v>
      </c>
      <c r="DS4" s="3"/>
      <c r="DT4" s="2">
        <v>8908</v>
      </c>
      <c r="DU4" s="3"/>
      <c r="DV4" s="2">
        <v>10713</v>
      </c>
      <c r="DW4" s="3"/>
      <c r="DX4" s="2">
        <v>11359.45</v>
      </c>
      <c r="DY4" s="3"/>
      <c r="DZ4" s="2">
        <v>4685</v>
      </c>
      <c r="EA4" s="3"/>
      <c r="EB4" s="2">
        <v>13685</v>
      </c>
      <c r="EC4" s="3"/>
      <c r="ED4" s="2">
        <v>10854</v>
      </c>
      <c r="EE4" s="3"/>
      <c r="EF4" s="2">
        <v>14981</v>
      </c>
      <c r="EG4" s="3"/>
      <c r="EH4" s="2">
        <f t="shared" ref="EH4:EH12" si="0">ROUND(SUM(F4:EF4),5)</f>
        <v>518945.87</v>
      </c>
    </row>
    <row r="5" spans="1:138" x14ac:dyDescent="0.45">
      <c r="A5" s="1"/>
      <c r="B5" s="1"/>
      <c r="C5" s="1"/>
      <c r="D5" s="1"/>
      <c r="E5" s="1" t="s">
        <v>70</v>
      </c>
      <c r="F5" s="2">
        <v>118846.7</v>
      </c>
      <c r="G5" s="3"/>
      <c r="H5" s="2">
        <v>54872.800000000003</v>
      </c>
      <c r="I5" s="3"/>
      <c r="J5" s="2">
        <v>88895.12</v>
      </c>
      <c r="K5" s="3"/>
      <c r="L5" s="2">
        <v>133633.13</v>
      </c>
      <c r="M5" s="3"/>
      <c r="N5" s="2">
        <v>154216.01</v>
      </c>
      <c r="O5" s="3"/>
      <c r="P5" s="2">
        <v>216011.67</v>
      </c>
      <c r="Q5" s="3"/>
      <c r="R5" s="2">
        <v>81245.820000000007</v>
      </c>
      <c r="S5" s="3"/>
      <c r="T5" s="2">
        <v>171211.82</v>
      </c>
      <c r="U5" s="3"/>
      <c r="V5" s="2">
        <v>129726.66</v>
      </c>
      <c r="W5" s="3"/>
      <c r="X5" s="2">
        <v>108781.77</v>
      </c>
      <c r="Y5" s="3"/>
      <c r="Z5" s="2">
        <v>142996.42000000001</v>
      </c>
      <c r="AA5" s="3"/>
      <c r="AB5" s="2">
        <v>125904.91</v>
      </c>
      <c r="AC5" s="3"/>
      <c r="AD5" s="2">
        <v>91795.83</v>
      </c>
      <c r="AE5" s="3"/>
      <c r="AF5" s="2">
        <v>248443.98</v>
      </c>
      <c r="AG5" s="3"/>
      <c r="AH5" s="2">
        <v>214627.01</v>
      </c>
      <c r="AI5" s="3"/>
      <c r="AJ5" s="2">
        <v>223953.8</v>
      </c>
      <c r="AK5" s="3"/>
      <c r="AL5" s="2">
        <v>99805.94</v>
      </c>
      <c r="AM5" s="3"/>
      <c r="AN5" s="2">
        <v>169626.25</v>
      </c>
      <c r="AO5" s="3"/>
      <c r="AP5" s="2">
        <v>151140.46</v>
      </c>
      <c r="AQ5" s="3"/>
      <c r="AR5" s="2">
        <v>232824.64</v>
      </c>
      <c r="AS5" s="3"/>
      <c r="AT5" s="2">
        <v>77316.460000000006</v>
      </c>
      <c r="AU5" s="3"/>
      <c r="AV5" s="2">
        <v>78140.81</v>
      </c>
      <c r="AW5" s="3"/>
      <c r="AX5" s="2">
        <v>177483.64</v>
      </c>
      <c r="AY5" s="3"/>
      <c r="AZ5" s="2">
        <v>53106.42</v>
      </c>
      <c r="BA5" s="3"/>
      <c r="BB5" s="2">
        <v>127611.97</v>
      </c>
      <c r="BC5" s="3"/>
      <c r="BD5" s="2">
        <v>173943.69</v>
      </c>
      <c r="BE5" s="3"/>
      <c r="BF5" s="2">
        <v>202911.24</v>
      </c>
      <c r="BG5" s="3"/>
      <c r="BH5" s="2">
        <v>176655.17</v>
      </c>
      <c r="BI5" s="3"/>
      <c r="BJ5" s="2">
        <v>192389.77</v>
      </c>
      <c r="BK5" s="3"/>
      <c r="BL5" s="2">
        <v>161940.42000000001</v>
      </c>
      <c r="BM5" s="3"/>
      <c r="BN5" s="2">
        <v>112461.99</v>
      </c>
      <c r="BO5" s="3"/>
      <c r="BP5" s="2">
        <v>108803.53</v>
      </c>
      <c r="BQ5" s="3"/>
      <c r="BR5" s="2">
        <v>109873.24</v>
      </c>
      <c r="BS5" s="3"/>
      <c r="BT5" s="2">
        <v>94343.97</v>
      </c>
      <c r="BU5" s="3"/>
      <c r="BV5" s="2">
        <v>119595.33</v>
      </c>
      <c r="BW5" s="3"/>
      <c r="BX5" s="2">
        <v>72520.179999999993</v>
      </c>
      <c r="BY5" s="3"/>
      <c r="BZ5" s="2">
        <v>71486.39</v>
      </c>
      <c r="CA5" s="3"/>
      <c r="CB5" s="2">
        <v>153030.54</v>
      </c>
      <c r="CC5" s="3"/>
      <c r="CD5" s="2">
        <v>94929.82</v>
      </c>
      <c r="CE5" s="3"/>
      <c r="CF5" s="2">
        <v>113038.21</v>
      </c>
      <c r="CG5" s="3"/>
      <c r="CH5" s="2">
        <v>107900.26</v>
      </c>
      <c r="CI5" s="3"/>
      <c r="CJ5" s="2">
        <v>93399.81</v>
      </c>
      <c r="CK5" s="3"/>
      <c r="CL5" s="2">
        <v>123000.68</v>
      </c>
      <c r="CM5" s="3"/>
      <c r="CN5" s="2">
        <v>113540.94</v>
      </c>
      <c r="CO5" s="3"/>
      <c r="CP5" s="2">
        <v>136423.82</v>
      </c>
      <c r="CQ5" s="3"/>
      <c r="CR5" s="2">
        <v>90298.3</v>
      </c>
      <c r="CS5" s="3"/>
      <c r="CT5" s="2">
        <v>116248.42</v>
      </c>
      <c r="CU5" s="3"/>
      <c r="CV5" s="2">
        <v>74495.97</v>
      </c>
      <c r="CW5" s="3"/>
      <c r="CX5" s="2">
        <v>124913.47</v>
      </c>
      <c r="CY5" s="3"/>
      <c r="CZ5" s="2">
        <v>71074.600000000006</v>
      </c>
      <c r="DA5" s="3"/>
      <c r="DB5" s="2">
        <v>169052.9</v>
      </c>
      <c r="DC5" s="3"/>
      <c r="DD5" s="2">
        <v>155805.54999999999</v>
      </c>
      <c r="DE5" s="3"/>
      <c r="DF5" s="2">
        <v>110211.2</v>
      </c>
      <c r="DG5" s="3"/>
      <c r="DH5" s="2">
        <v>110618</v>
      </c>
      <c r="DI5" s="3"/>
      <c r="DJ5" s="2">
        <v>103022.24</v>
      </c>
      <c r="DK5" s="3"/>
      <c r="DL5" s="2">
        <v>115523.92</v>
      </c>
      <c r="DM5" s="3"/>
      <c r="DN5" s="2">
        <v>120109.52</v>
      </c>
      <c r="DO5" s="3"/>
      <c r="DP5" s="2">
        <v>94484.95</v>
      </c>
      <c r="DQ5" s="3"/>
      <c r="DR5" s="2">
        <v>123941.47</v>
      </c>
      <c r="DS5" s="3"/>
      <c r="DT5" s="2">
        <v>132427.29</v>
      </c>
      <c r="DU5" s="3"/>
      <c r="DV5" s="2">
        <v>217486.77</v>
      </c>
      <c r="DW5" s="3"/>
      <c r="DX5" s="2">
        <v>129039.65</v>
      </c>
      <c r="DY5" s="3"/>
      <c r="DZ5" s="2">
        <v>124013.23</v>
      </c>
      <c r="EA5" s="3"/>
      <c r="EB5" s="2">
        <v>133045.89000000001</v>
      </c>
      <c r="EC5" s="3"/>
      <c r="ED5" s="2">
        <v>169098.29</v>
      </c>
      <c r="EE5" s="3"/>
      <c r="EF5" s="2">
        <v>196359.7</v>
      </c>
      <c r="EG5" s="3"/>
      <c r="EH5" s="2">
        <f t="shared" si="0"/>
        <v>8685680.3699999992</v>
      </c>
    </row>
    <row r="6" spans="1:138" x14ac:dyDescent="0.45">
      <c r="A6" s="1"/>
      <c r="B6" s="1"/>
      <c r="C6" s="1"/>
      <c r="D6" s="1"/>
      <c r="E6" s="1" t="s">
        <v>71</v>
      </c>
      <c r="F6" s="2">
        <v>1762.5</v>
      </c>
      <c r="G6" s="3"/>
      <c r="H6" s="2">
        <v>2077.4499999999998</v>
      </c>
      <c r="I6" s="3"/>
      <c r="J6" s="2">
        <v>597.54999999999995</v>
      </c>
      <c r="K6" s="3"/>
      <c r="L6" s="2">
        <v>1645.8</v>
      </c>
      <c r="M6" s="3"/>
      <c r="N6" s="2">
        <v>1424.55</v>
      </c>
      <c r="O6" s="3"/>
      <c r="P6" s="2">
        <v>1273.05</v>
      </c>
      <c r="Q6" s="3"/>
      <c r="R6" s="2">
        <v>2582.35</v>
      </c>
      <c r="S6" s="3"/>
      <c r="T6" s="2">
        <v>2009.75</v>
      </c>
      <c r="U6" s="3"/>
      <c r="V6" s="2">
        <v>3781.5</v>
      </c>
      <c r="W6" s="3"/>
      <c r="X6" s="2">
        <v>2296.8000000000002</v>
      </c>
      <c r="Y6" s="3"/>
      <c r="Z6" s="2">
        <v>857</v>
      </c>
      <c r="AA6" s="3"/>
      <c r="AB6" s="2">
        <v>1571.3</v>
      </c>
      <c r="AC6" s="3"/>
      <c r="AD6" s="2">
        <v>4006.9</v>
      </c>
      <c r="AE6" s="3"/>
      <c r="AF6" s="2">
        <v>1826.7</v>
      </c>
      <c r="AG6" s="3"/>
      <c r="AH6" s="2">
        <v>4768.55</v>
      </c>
      <c r="AI6" s="3"/>
      <c r="AJ6" s="2">
        <v>1495.9</v>
      </c>
      <c r="AK6" s="3"/>
      <c r="AL6" s="2">
        <v>1187.8</v>
      </c>
      <c r="AM6" s="3"/>
      <c r="AN6" s="2">
        <v>1020.85</v>
      </c>
      <c r="AO6" s="3"/>
      <c r="AP6" s="2">
        <v>2901.8</v>
      </c>
      <c r="AQ6" s="3"/>
      <c r="AR6" s="2">
        <v>2883.15</v>
      </c>
      <c r="AS6" s="3"/>
      <c r="AT6" s="2">
        <v>4413.1000000000004</v>
      </c>
      <c r="AU6" s="3"/>
      <c r="AV6" s="2">
        <v>1323.2</v>
      </c>
      <c r="AW6" s="3"/>
      <c r="AX6" s="2">
        <v>1701.3</v>
      </c>
      <c r="AY6" s="3"/>
      <c r="AZ6" s="2">
        <v>1734</v>
      </c>
      <c r="BA6" s="3"/>
      <c r="BB6" s="2">
        <v>1382.5</v>
      </c>
      <c r="BC6" s="3"/>
      <c r="BD6" s="2">
        <v>2807.75</v>
      </c>
      <c r="BE6" s="3"/>
      <c r="BF6" s="2">
        <v>701.6</v>
      </c>
      <c r="BG6" s="3"/>
      <c r="BH6" s="2">
        <v>5166.05</v>
      </c>
      <c r="BI6" s="3"/>
      <c r="BJ6" s="2">
        <v>2479.65</v>
      </c>
      <c r="BK6" s="3"/>
      <c r="BL6" s="2">
        <v>2594.63</v>
      </c>
      <c r="BM6" s="3"/>
      <c r="BN6" s="2">
        <v>1028</v>
      </c>
      <c r="BO6" s="3"/>
      <c r="BP6" s="2">
        <v>2296.5500000000002</v>
      </c>
      <c r="BQ6" s="3"/>
      <c r="BR6" s="2">
        <v>2042.5</v>
      </c>
      <c r="BS6" s="3"/>
      <c r="BT6" s="2">
        <v>1979.45</v>
      </c>
      <c r="BU6" s="3"/>
      <c r="BV6" s="2">
        <v>2729.1</v>
      </c>
      <c r="BW6" s="3"/>
      <c r="BX6" s="2">
        <v>992.4</v>
      </c>
      <c r="BY6" s="3"/>
      <c r="BZ6" s="2">
        <v>3183.95</v>
      </c>
      <c r="CA6" s="3"/>
      <c r="CB6" s="2">
        <v>890.45</v>
      </c>
      <c r="CC6" s="3"/>
      <c r="CD6" s="2">
        <v>6450.6</v>
      </c>
      <c r="CE6" s="3"/>
      <c r="CF6" s="2">
        <v>2067.5</v>
      </c>
      <c r="CG6" s="3"/>
      <c r="CH6" s="2">
        <v>4465.8</v>
      </c>
      <c r="CI6" s="3"/>
      <c r="CJ6" s="2">
        <v>3432.05</v>
      </c>
      <c r="CK6" s="3"/>
      <c r="CL6" s="2">
        <v>1332.5</v>
      </c>
      <c r="CM6" s="3"/>
      <c r="CN6" s="2">
        <v>3804.2</v>
      </c>
      <c r="CO6" s="3"/>
      <c r="CP6" s="2">
        <v>2398.3000000000002</v>
      </c>
      <c r="CQ6" s="3"/>
      <c r="CR6" s="2">
        <v>785.65</v>
      </c>
      <c r="CS6" s="3"/>
      <c r="CT6" s="2">
        <v>2646.4</v>
      </c>
      <c r="CU6" s="3"/>
      <c r="CV6" s="2">
        <v>2274.25</v>
      </c>
      <c r="CW6" s="3"/>
      <c r="CX6" s="2">
        <v>6988.15</v>
      </c>
      <c r="CY6" s="3"/>
      <c r="CZ6" s="2">
        <v>1488.6</v>
      </c>
      <c r="DA6" s="3"/>
      <c r="DB6" s="2">
        <v>5458.2</v>
      </c>
      <c r="DC6" s="3"/>
      <c r="DD6" s="2">
        <v>578.9</v>
      </c>
      <c r="DE6" s="3"/>
      <c r="DF6" s="2">
        <v>1621.1</v>
      </c>
      <c r="DG6" s="3"/>
      <c r="DH6" s="2">
        <v>651.38</v>
      </c>
      <c r="DI6" s="3"/>
      <c r="DJ6" s="2">
        <v>2952.9</v>
      </c>
      <c r="DK6" s="3"/>
      <c r="DL6" s="2">
        <v>1684.95</v>
      </c>
      <c r="DM6" s="3"/>
      <c r="DN6" s="2">
        <v>2431.8000000000002</v>
      </c>
      <c r="DO6" s="3"/>
      <c r="DP6" s="2">
        <v>781.65</v>
      </c>
      <c r="DQ6" s="3"/>
      <c r="DR6" s="2">
        <v>1275.9000000000001</v>
      </c>
      <c r="DS6" s="3"/>
      <c r="DT6" s="2">
        <v>1215.9000000000001</v>
      </c>
      <c r="DU6" s="3"/>
      <c r="DV6" s="2">
        <v>1693.58</v>
      </c>
      <c r="DW6" s="3"/>
      <c r="DX6" s="2">
        <v>862.35</v>
      </c>
      <c r="DY6" s="3"/>
      <c r="DZ6" s="2">
        <v>10304.77</v>
      </c>
      <c r="EA6" s="3"/>
      <c r="EB6" s="2">
        <v>3103.88</v>
      </c>
      <c r="EC6" s="3"/>
      <c r="ED6" s="2">
        <v>1687.07</v>
      </c>
      <c r="EE6" s="3"/>
      <c r="EF6" s="2">
        <v>521.1</v>
      </c>
      <c r="EG6" s="3"/>
      <c r="EH6" s="2">
        <f t="shared" si="0"/>
        <v>156376.85999999999</v>
      </c>
    </row>
    <row r="7" spans="1:138" x14ac:dyDescent="0.45">
      <c r="A7" s="1"/>
      <c r="B7" s="1"/>
      <c r="C7" s="1"/>
      <c r="D7" s="1"/>
      <c r="E7" s="1" t="s">
        <v>72</v>
      </c>
      <c r="F7" s="2">
        <v>0</v>
      </c>
      <c r="G7" s="3"/>
      <c r="H7" s="2">
        <v>0</v>
      </c>
      <c r="I7" s="3"/>
      <c r="J7" s="2">
        <v>0</v>
      </c>
      <c r="K7" s="3"/>
      <c r="L7" s="2">
        <v>1500</v>
      </c>
      <c r="M7" s="3"/>
      <c r="N7" s="2">
        <v>0</v>
      </c>
      <c r="O7" s="3"/>
      <c r="P7" s="2">
        <v>2756.86</v>
      </c>
      <c r="Q7" s="3"/>
      <c r="R7" s="2">
        <v>0</v>
      </c>
      <c r="S7" s="3"/>
      <c r="T7" s="2">
        <v>0</v>
      </c>
      <c r="U7" s="3"/>
      <c r="V7" s="2">
        <v>0</v>
      </c>
      <c r="W7" s="3"/>
      <c r="X7" s="2">
        <v>1000</v>
      </c>
      <c r="Y7" s="3"/>
      <c r="Z7" s="2">
        <v>2712.19</v>
      </c>
      <c r="AA7" s="3"/>
      <c r="AB7" s="2">
        <v>0</v>
      </c>
      <c r="AC7" s="3"/>
      <c r="AD7" s="2">
        <v>0</v>
      </c>
      <c r="AE7" s="3"/>
      <c r="AF7" s="2">
        <v>0</v>
      </c>
      <c r="AG7" s="3"/>
      <c r="AH7" s="2">
        <v>2000</v>
      </c>
      <c r="AI7" s="3"/>
      <c r="AJ7" s="2">
        <v>2000</v>
      </c>
      <c r="AK7" s="3"/>
      <c r="AL7" s="2">
        <v>0</v>
      </c>
      <c r="AM7" s="3"/>
      <c r="AN7" s="2">
        <v>1000</v>
      </c>
      <c r="AO7" s="3"/>
      <c r="AP7" s="2">
        <v>1000</v>
      </c>
      <c r="AQ7" s="3"/>
      <c r="AR7" s="2">
        <v>0</v>
      </c>
      <c r="AS7" s="3"/>
      <c r="AT7" s="2">
        <v>0</v>
      </c>
      <c r="AU7" s="3"/>
      <c r="AV7" s="2">
        <v>1000</v>
      </c>
      <c r="AW7" s="3"/>
      <c r="AX7" s="2">
        <v>0</v>
      </c>
      <c r="AY7" s="3"/>
      <c r="AZ7" s="2">
        <v>3000</v>
      </c>
      <c r="BA7" s="3"/>
      <c r="BB7" s="2">
        <v>0</v>
      </c>
      <c r="BC7" s="3"/>
      <c r="BD7" s="2">
        <v>1000</v>
      </c>
      <c r="BE7" s="3"/>
      <c r="BF7" s="2">
        <v>1000</v>
      </c>
      <c r="BG7" s="3"/>
      <c r="BH7" s="2">
        <v>5500</v>
      </c>
      <c r="BI7" s="3"/>
      <c r="BJ7" s="2">
        <v>0</v>
      </c>
      <c r="BK7" s="3"/>
      <c r="BL7" s="2">
        <v>1000</v>
      </c>
      <c r="BM7" s="3"/>
      <c r="BN7" s="2">
        <v>1250</v>
      </c>
      <c r="BO7" s="3"/>
      <c r="BP7" s="2">
        <v>0</v>
      </c>
      <c r="BQ7" s="3"/>
      <c r="BR7" s="2">
        <v>2250</v>
      </c>
      <c r="BS7" s="3"/>
      <c r="BT7" s="2">
        <v>1250</v>
      </c>
      <c r="BU7" s="3"/>
      <c r="BV7" s="2">
        <v>2500</v>
      </c>
      <c r="BW7" s="3"/>
      <c r="BX7" s="2">
        <v>0</v>
      </c>
      <c r="BY7" s="3"/>
      <c r="BZ7" s="2">
        <v>1250</v>
      </c>
      <c r="CA7" s="3"/>
      <c r="CB7" s="2">
        <v>3300</v>
      </c>
      <c r="CC7" s="3"/>
      <c r="CD7" s="2">
        <v>0</v>
      </c>
      <c r="CE7" s="3"/>
      <c r="CF7" s="2">
        <v>250</v>
      </c>
      <c r="CG7" s="3"/>
      <c r="CH7" s="2">
        <v>2500</v>
      </c>
      <c r="CI7" s="3"/>
      <c r="CJ7" s="2">
        <v>2500</v>
      </c>
      <c r="CK7" s="3"/>
      <c r="CL7" s="2">
        <v>0</v>
      </c>
      <c r="CM7" s="3"/>
      <c r="CN7" s="2">
        <v>2500</v>
      </c>
      <c r="CO7" s="3"/>
      <c r="CP7" s="2">
        <v>2500</v>
      </c>
      <c r="CQ7" s="3"/>
      <c r="CR7" s="2">
        <v>1250</v>
      </c>
      <c r="CS7" s="3"/>
      <c r="CT7" s="2">
        <v>1250</v>
      </c>
      <c r="CU7" s="3"/>
      <c r="CV7" s="2">
        <v>0</v>
      </c>
      <c r="CW7" s="3"/>
      <c r="CX7" s="2">
        <v>1250</v>
      </c>
      <c r="CY7" s="3"/>
      <c r="CZ7" s="2">
        <v>3750</v>
      </c>
      <c r="DA7" s="3"/>
      <c r="DB7" s="2">
        <v>3750</v>
      </c>
      <c r="DC7" s="3"/>
      <c r="DD7" s="2">
        <v>0</v>
      </c>
      <c r="DE7" s="3"/>
      <c r="DF7" s="2">
        <v>0</v>
      </c>
      <c r="DG7" s="3"/>
      <c r="DH7" s="2">
        <v>1500</v>
      </c>
      <c r="DI7" s="3"/>
      <c r="DJ7" s="2">
        <v>0</v>
      </c>
      <c r="DK7" s="3"/>
      <c r="DL7" s="2">
        <v>3000</v>
      </c>
      <c r="DM7" s="3"/>
      <c r="DN7" s="2">
        <v>0</v>
      </c>
      <c r="DO7" s="3"/>
      <c r="DP7" s="2">
        <v>0</v>
      </c>
      <c r="DQ7" s="3"/>
      <c r="DR7" s="2">
        <v>1500</v>
      </c>
      <c r="DS7" s="3"/>
      <c r="DT7" s="2">
        <v>1500</v>
      </c>
      <c r="DU7" s="3"/>
      <c r="DV7" s="2">
        <v>0</v>
      </c>
      <c r="DW7" s="3"/>
      <c r="DX7" s="2">
        <v>1500</v>
      </c>
      <c r="DY7" s="3"/>
      <c r="DZ7" s="2">
        <v>0</v>
      </c>
      <c r="EA7" s="3"/>
      <c r="EB7" s="2">
        <v>0</v>
      </c>
      <c r="EC7" s="3"/>
      <c r="ED7" s="2">
        <v>-145.58000000000001</v>
      </c>
      <c r="EE7" s="3"/>
      <c r="EF7" s="2">
        <v>0</v>
      </c>
      <c r="EG7" s="3"/>
      <c r="EH7" s="2">
        <f t="shared" si="0"/>
        <v>68623.47</v>
      </c>
    </row>
    <row r="8" spans="1:138" x14ac:dyDescent="0.45">
      <c r="A8" s="1"/>
      <c r="B8" s="1"/>
      <c r="C8" s="1"/>
      <c r="D8" s="1"/>
      <c r="E8" s="1" t="s">
        <v>73</v>
      </c>
      <c r="F8" s="2">
        <v>-8.41</v>
      </c>
      <c r="G8" s="3"/>
      <c r="H8" s="2">
        <v>100</v>
      </c>
      <c r="I8" s="3"/>
      <c r="J8" s="2">
        <v>0</v>
      </c>
      <c r="K8" s="3"/>
      <c r="L8" s="2">
        <v>1210.8800000000001</v>
      </c>
      <c r="M8" s="3"/>
      <c r="N8" s="2">
        <v>1540.17</v>
      </c>
      <c r="O8" s="3"/>
      <c r="P8" s="2">
        <v>1284.78</v>
      </c>
      <c r="Q8" s="3"/>
      <c r="R8" s="2">
        <v>3977.09</v>
      </c>
      <c r="S8" s="3"/>
      <c r="T8" s="2">
        <v>1873.15</v>
      </c>
      <c r="U8" s="3"/>
      <c r="V8" s="2">
        <v>0</v>
      </c>
      <c r="W8" s="3"/>
      <c r="X8" s="2">
        <v>1662.46</v>
      </c>
      <c r="Y8" s="3"/>
      <c r="Z8" s="2">
        <v>3428.87</v>
      </c>
      <c r="AA8" s="3"/>
      <c r="AB8" s="2">
        <v>0</v>
      </c>
      <c r="AC8" s="3"/>
      <c r="AD8" s="2">
        <v>0</v>
      </c>
      <c r="AE8" s="3"/>
      <c r="AF8" s="2">
        <v>0</v>
      </c>
      <c r="AG8" s="3"/>
      <c r="AH8" s="2">
        <v>3295</v>
      </c>
      <c r="AI8" s="3"/>
      <c r="AJ8" s="2">
        <v>1593.58</v>
      </c>
      <c r="AK8" s="3"/>
      <c r="AL8" s="2">
        <v>0</v>
      </c>
      <c r="AM8" s="3"/>
      <c r="AN8" s="2">
        <v>2120.71</v>
      </c>
      <c r="AO8" s="3"/>
      <c r="AP8" s="2">
        <v>472.89</v>
      </c>
      <c r="AQ8" s="3"/>
      <c r="AR8" s="2">
        <v>6185.33</v>
      </c>
      <c r="AS8" s="3"/>
      <c r="AT8" s="2">
        <v>6047.64</v>
      </c>
      <c r="AU8" s="3"/>
      <c r="AV8" s="2">
        <v>6267.78</v>
      </c>
      <c r="AW8" s="3"/>
      <c r="AX8" s="2">
        <v>1315.95</v>
      </c>
      <c r="AY8" s="3"/>
      <c r="AZ8" s="2">
        <v>5569.39</v>
      </c>
      <c r="BA8" s="3"/>
      <c r="BB8" s="2">
        <v>0</v>
      </c>
      <c r="BC8" s="3"/>
      <c r="BD8" s="2">
        <v>1502.64</v>
      </c>
      <c r="BE8" s="3"/>
      <c r="BF8" s="2">
        <v>1260.57</v>
      </c>
      <c r="BG8" s="3"/>
      <c r="BH8" s="2">
        <v>6980.68</v>
      </c>
      <c r="BI8" s="3"/>
      <c r="BJ8" s="2">
        <v>3640.11</v>
      </c>
      <c r="BK8" s="3"/>
      <c r="BL8" s="2">
        <v>1988.41</v>
      </c>
      <c r="BM8" s="3"/>
      <c r="BN8" s="2">
        <v>3560.58</v>
      </c>
      <c r="BO8" s="3"/>
      <c r="BP8" s="2">
        <v>0</v>
      </c>
      <c r="BQ8" s="3"/>
      <c r="BR8" s="2">
        <v>3609.13</v>
      </c>
      <c r="BS8" s="3"/>
      <c r="BT8" s="2">
        <v>3638.15</v>
      </c>
      <c r="BU8" s="3"/>
      <c r="BV8" s="2">
        <v>4760.87</v>
      </c>
      <c r="BW8" s="3"/>
      <c r="BX8" s="2">
        <v>0</v>
      </c>
      <c r="BY8" s="3"/>
      <c r="BZ8" s="2">
        <v>1444.84</v>
      </c>
      <c r="CA8" s="3"/>
      <c r="CB8" s="2">
        <v>2190.54</v>
      </c>
      <c r="CC8" s="3"/>
      <c r="CD8" s="2">
        <v>3358.24</v>
      </c>
      <c r="CE8" s="3"/>
      <c r="CF8" s="2">
        <v>132.25</v>
      </c>
      <c r="CG8" s="3"/>
      <c r="CH8" s="2">
        <v>3168.19</v>
      </c>
      <c r="CI8" s="3"/>
      <c r="CJ8" s="2">
        <v>5067.8999999999996</v>
      </c>
      <c r="CK8" s="3"/>
      <c r="CL8" s="2">
        <v>5739.75</v>
      </c>
      <c r="CM8" s="3"/>
      <c r="CN8" s="2">
        <v>5839.68</v>
      </c>
      <c r="CO8" s="3"/>
      <c r="CP8" s="2">
        <v>3754.54</v>
      </c>
      <c r="CQ8" s="3"/>
      <c r="CR8" s="2">
        <v>3262.96</v>
      </c>
      <c r="CS8" s="3"/>
      <c r="CT8" s="2">
        <v>2868.33</v>
      </c>
      <c r="CU8" s="3"/>
      <c r="CV8" s="2">
        <v>2079.42</v>
      </c>
      <c r="CW8" s="3"/>
      <c r="CX8" s="2">
        <v>1661.55</v>
      </c>
      <c r="CY8" s="3"/>
      <c r="CZ8" s="2">
        <v>5183.8900000000003</v>
      </c>
      <c r="DA8" s="3"/>
      <c r="DB8" s="2">
        <v>3038.99</v>
      </c>
      <c r="DC8" s="3"/>
      <c r="DD8" s="2">
        <v>1281.1600000000001</v>
      </c>
      <c r="DE8" s="3"/>
      <c r="DF8" s="2">
        <v>1267.52</v>
      </c>
      <c r="DG8" s="3"/>
      <c r="DH8" s="2">
        <v>3262.61</v>
      </c>
      <c r="DI8" s="3"/>
      <c r="DJ8" s="2">
        <v>2051.1999999999998</v>
      </c>
      <c r="DK8" s="3"/>
      <c r="DL8" s="2">
        <v>5808.85</v>
      </c>
      <c r="DM8" s="3"/>
      <c r="DN8" s="2">
        <v>4977.28</v>
      </c>
      <c r="DO8" s="3"/>
      <c r="DP8" s="2">
        <v>1640.93</v>
      </c>
      <c r="DQ8" s="3"/>
      <c r="DR8" s="2">
        <v>1553.3</v>
      </c>
      <c r="DS8" s="3"/>
      <c r="DT8" s="2">
        <v>1031.72</v>
      </c>
      <c r="DU8" s="3"/>
      <c r="DV8" s="2">
        <v>0</v>
      </c>
      <c r="DW8" s="3"/>
      <c r="DX8" s="2">
        <v>1717.54</v>
      </c>
      <c r="DY8" s="3"/>
      <c r="DZ8" s="2">
        <v>0</v>
      </c>
      <c r="EA8" s="3"/>
      <c r="EB8" s="2">
        <v>404.07</v>
      </c>
      <c r="EC8" s="3"/>
      <c r="ED8" s="2">
        <v>1067.5999999999999</v>
      </c>
      <c r="EE8" s="3"/>
      <c r="EF8" s="2">
        <v>1791.12</v>
      </c>
      <c r="EG8" s="3"/>
      <c r="EH8" s="2">
        <f t="shared" si="0"/>
        <v>155524.37</v>
      </c>
    </row>
    <row r="9" spans="1:138" x14ac:dyDescent="0.45">
      <c r="A9" s="1"/>
      <c r="B9" s="1"/>
      <c r="C9" s="1"/>
      <c r="D9" s="1"/>
      <c r="E9" s="1" t="s">
        <v>74</v>
      </c>
      <c r="F9" s="2">
        <v>7155.65</v>
      </c>
      <c r="G9" s="3"/>
      <c r="H9" s="2">
        <v>2635</v>
      </c>
      <c r="I9" s="3"/>
      <c r="J9" s="2">
        <v>6810</v>
      </c>
      <c r="K9" s="3"/>
      <c r="L9" s="2">
        <v>5180.5600000000004</v>
      </c>
      <c r="M9" s="3"/>
      <c r="N9" s="2">
        <v>6785</v>
      </c>
      <c r="O9" s="3"/>
      <c r="P9" s="2">
        <v>3478.2</v>
      </c>
      <c r="Q9" s="3"/>
      <c r="R9" s="2">
        <v>16769.96</v>
      </c>
      <c r="S9" s="3"/>
      <c r="T9" s="2">
        <v>4890</v>
      </c>
      <c r="U9" s="3"/>
      <c r="V9" s="2">
        <v>44107.72</v>
      </c>
      <c r="W9" s="3"/>
      <c r="X9" s="2">
        <v>10266.11</v>
      </c>
      <c r="Y9" s="3"/>
      <c r="Z9" s="2">
        <v>12755</v>
      </c>
      <c r="AA9" s="3"/>
      <c r="AB9" s="2">
        <v>1260</v>
      </c>
      <c r="AC9" s="3"/>
      <c r="AD9" s="2">
        <v>5005</v>
      </c>
      <c r="AE9" s="3"/>
      <c r="AF9" s="2">
        <v>4500</v>
      </c>
      <c r="AG9" s="3"/>
      <c r="AH9" s="2">
        <v>14655</v>
      </c>
      <c r="AI9" s="3"/>
      <c r="AJ9" s="2">
        <v>1400</v>
      </c>
      <c r="AK9" s="3"/>
      <c r="AL9" s="2">
        <v>23100</v>
      </c>
      <c r="AM9" s="3"/>
      <c r="AN9" s="2">
        <v>17690</v>
      </c>
      <c r="AO9" s="3"/>
      <c r="AP9" s="2">
        <v>20419.939999999999</v>
      </c>
      <c r="AQ9" s="3"/>
      <c r="AR9" s="2">
        <v>35990.800000000003</v>
      </c>
      <c r="AS9" s="3"/>
      <c r="AT9" s="2">
        <v>38873.85</v>
      </c>
      <c r="AU9" s="3"/>
      <c r="AV9" s="2">
        <v>42934.85</v>
      </c>
      <c r="AW9" s="3"/>
      <c r="AX9" s="2">
        <v>15830.95</v>
      </c>
      <c r="AY9" s="3"/>
      <c r="AZ9" s="2">
        <v>13354.5</v>
      </c>
      <c r="BA9" s="3"/>
      <c r="BB9" s="2">
        <v>3759.72</v>
      </c>
      <c r="BC9" s="3"/>
      <c r="BD9" s="2">
        <v>1332.8</v>
      </c>
      <c r="BE9" s="3"/>
      <c r="BF9" s="2">
        <v>1595</v>
      </c>
      <c r="BG9" s="3"/>
      <c r="BH9" s="2">
        <v>8609.7999999999993</v>
      </c>
      <c r="BI9" s="3"/>
      <c r="BJ9" s="2">
        <v>6214.5</v>
      </c>
      <c r="BK9" s="3"/>
      <c r="BL9" s="2">
        <v>9988.7000000000007</v>
      </c>
      <c r="BM9" s="3"/>
      <c r="BN9" s="2">
        <v>15220.6</v>
      </c>
      <c r="BO9" s="3"/>
      <c r="BP9" s="2">
        <v>28583.75</v>
      </c>
      <c r="BQ9" s="3"/>
      <c r="BR9" s="2">
        <v>35760.1</v>
      </c>
      <c r="BS9" s="3"/>
      <c r="BT9" s="2">
        <v>26237.7</v>
      </c>
      <c r="BU9" s="3"/>
      <c r="BV9" s="2">
        <v>10875</v>
      </c>
      <c r="BW9" s="3"/>
      <c r="BX9" s="2">
        <v>9718.6</v>
      </c>
      <c r="BY9" s="3"/>
      <c r="BZ9" s="2">
        <v>8805.4</v>
      </c>
      <c r="CA9" s="3"/>
      <c r="CB9" s="2">
        <v>9914.25</v>
      </c>
      <c r="CC9" s="3"/>
      <c r="CD9" s="2">
        <v>10501.85</v>
      </c>
      <c r="CE9" s="3"/>
      <c r="CF9" s="2">
        <v>1840</v>
      </c>
      <c r="CG9" s="3"/>
      <c r="CH9" s="2">
        <v>16925</v>
      </c>
      <c r="CI9" s="3"/>
      <c r="CJ9" s="2">
        <v>7876.75</v>
      </c>
      <c r="CK9" s="3"/>
      <c r="CL9" s="2">
        <v>24449.65</v>
      </c>
      <c r="CM9" s="3"/>
      <c r="CN9" s="2">
        <v>5975.85</v>
      </c>
      <c r="CO9" s="3"/>
      <c r="CP9" s="2">
        <v>13864</v>
      </c>
      <c r="CQ9" s="3"/>
      <c r="CR9" s="2">
        <v>15498.45</v>
      </c>
      <c r="CS9" s="3"/>
      <c r="CT9" s="2">
        <v>10835.55</v>
      </c>
      <c r="CU9" s="3"/>
      <c r="CV9" s="2">
        <v>7401.45</v>
      </c>
      <c r="CW9" s="3"/>
      <c r="CX9" s="2">
        <v>4148.8500000000004</v>
      </c>
      <c r="CY9" s="3"/>
      <c r="CZ9" s="2">
        <v>8966.0499999999993</v>
      </c>
      <c r="DA9" s="3"/>
      <c r="DB9" s="2">
        <v>13620.95</v>
      </c>
      <c r="DC9" s="3"/>
      <c r="DD9" s="2">
        <v>8307.35</v>
      </c>
      <c r="DE9" s="3"/>
      <c r="DF9" s="2">
        <v>8379.84</v>
      </c>
      <c r="DG9" s="3"/>
      <c r="DH9" s="2">
        <v>21764.04</v>
      </c>
      <c r="DI9" s="3"/>
      <c r="DJ9" s="2">
        <v>11388.5</v>
      </c>
      <c r="DK9" s="3"/>
      <c r="DL9" s="2">
        <v>11811.92</v>
      </c>
      <c r="DM9" s="3"/>
      <c r="DN9" s="2">
        <v>27081.040000000001</v>
      </c>
      <c r="DO9" s="3"/>
      <c r="DP9" s="2">
        <v>24918.02</v>
      </c>
      <c r="DQ9" s="3"/>
      <c r="DR9" s="2">
        <v>7107.64</v>
      </c>
      <c r="DS9" s="3"/>
      <c r="DT9" s="2">
        <v>15626.8</v>
      </c>
      <c r="DU9" s="3"/>
      <c r="DV9" s="2">
        <v>10211.879999999999</v>
      </c>
      <c r="DW9" s="3"/>
      <c r="DX9" s="2">
        <v>3092.7</v>
      </c>
      <c r="DY9" s="3"/>
      <c r="DZ9" s="2">
        <v>3225</v>
      </c>
      <c r="EA9" s="3"/>
      <c r="EB9" s="2">
        <v>4292.5</v>
      </c>
      <c r="EC9" s="3"/>
      <c r="ED9" s="2">
        <v>664</v>
      </c>
      <c r="EE9" s="3"/>
      <c r="EF9" s="2">
        <v>13776.36</v>
      </c>
      <c r="EG9" s="3"/>
      <c r="EH9" s="2">
        <f t="shared" si="0"/>
        <v>846016</v>
      </c>
    </row>
    <row r="10" spans="1:138" x14ac:dyDescent="0.45">
      <c r="A10" s="1"/>
      <c r="B10" s="1"/>
      <c r="C10" s="1"/>
      <c r="D10" s="1"/>
      <c r="E10" s="1" t="s">
        <v>75</v>
      </c>
      <c r="F10" s="2">
        <v>0</v>
      </c>
      <c r="G10" s="3"/>
      <c r="H10" s="2">
        <v>0</v>
      </c>
      <c r="I10" s="3"/>
      <c r="J10" s="2">
        <v>0</v>
      </c>
      <c r="K10" s="3"/>
      <c r="L10" s="2">
        <v>0</v>
      </c>
      <c r="M10" s="3"/>
      <c r="N10" s="2">
        <v>0</v>
      </c>
      <c r="O10" s="3"/>
      <c r="P10" s="2">
        <v>0</v>
      </c>
      <c r="Q10" s="3"/>
      <c r="R10" s="2">
        <v>0</v>
      </c>
      <c r="S10" s="3"/>
      <c r="T10" s="2">
        <v>0</v>
      </c>
      <c r="U10" s="3"/>
      <c r="V10" s="2">
        <v>0</v>
      </c>
      <c r="W10" s="3"/>
      <c r="X10" s="2">
        <v>0</v>
      </c>
      <c r="Y10" s="3"/>
      <c r="Z10" s="2">
        <v>0</v>
      </c>
      <c r="AA10" s="3"/>
      <c r="AB10" s="2">
        <v>0</v>
      </c>
      <c r="AC10" s="3"/>
      <c r="AD10" s="2">
        <v>0</v>
      </c>
      <c r="AE10" s="3"/>
      <c r="AF10" s="2">
        <v>0</v>
      </c>
      <c r="AG10" s="3"/>
      <c r="AH10" s="2">
        <v>0</v>
      </c>
      <c r="AI10" s="3"/>
      <c r="AJ10" s="2">
        <v>0</v>
      </c>
      <c r="AK10" s="3"/>
      <c r="AL10" s="2">
        <v>0</v>
      </c>
      <c r="AM10" s="3"/>
      <c r="AN10" s="2">
        <v>0</v>
      </c>
      <c r="AO10" s="3"/>
      <c r="AP10" s="2">
        <v>0</v>
      </c>
      <c r="AQ10" s="3"/>
      <c r="AR10" s="2">
        <v>0</v>
      </c>
      <c r="AS10" s="3"/>
      <c r="AT10" s="2">
        <v>0</v>
      </c>
      <c r="AU10" s="3"/>
      <c r="AV10" s="2">
        <v>0</v>
      </c>
      <c r="AW10" s="3"/>
      <c r="AX10" s="2">
        <v>0</v>
      </c>
      <c r="AY10" s="3"/>
      <c r="AZ10" s="2">
        <v>0</v>
      </c>
      <c r="BA10" s="3"/>
      <c r="BB10" s="2">
        <v>0</v>
      </c>
      <c r="BC10" s="3"/>
      <c r="BD10" s="2">
        <v>0</v>
      </c>
      <c r="BE10" s="3"/>
      <c r="BF10" s="2">
        <v>0</v>
      </c>
      <c r="BG10" s="3"/>
      <c r="BH10" s="2">
        <v>0</v>
      </c>
      <c r="BI10" s="3"/>
      <c r="BJ10" s="2">
        <v>0</v>
      </c>
      <c r="BK10" s="3"/>
      <c r="BL10" s="2">
        <v>0</v>
      </c>
      <c r="BM10" s="3"/>
      <c r="BN10" s="2">
        <v>0</v>
      </c>
      <c r="BO10" s="3"/>
      <c r="BP10" s="2">
        <v>0</v>
      </c>
      <c r="BQ10" s="3"/>
      <c r="BR10" s="2">
        <v>0</v>
      </c>
      <c r="BS10" s="3"/>
      <c r="BT10" s="2">
        <v>0</v>
      </c>
      <c r="BU10" s="3"/>
      <c r="BV10" s="2">
        <v>0</v>
      </c>
      <c r="BW10" s="3"/>
      <c r="BX10" s="2">
        <v>0</v>
      </c>
      <c r="BY10" s="3"/>
      <c r="BZ10" s="2">
        <v>0</v>
      </c>
      <c r="CA10" s="3"/>
      <c r="CB10" s="2">
        <v>0</v>
      </c>
      <c r="CC10" s="3"/>
      <c r="CD10" s="2">
        <v>0</v>
      </c>
      <c r="CE10" s="3"/>
      <c r="CF10" s="2">
        <v>0</v>
      </c>
      <c r="CG10" s="3"/>
      <c r="CH10" s="2">
        <v>0</v>
      </c>
      <c r="CI10" s="3"/>
      <c r="CJ10" s="2">
        <v>0</v>
      </c>
      <c r="CK10" s="3"/>
      <c r="CL10" s="2">
        <v>0</v>
      </c>
      <c r="CM10" s="3"/>
      <c r="CN10" s="2">
        <v>0</v>
      </c>
      <c r="CO10" s="3"/>
      <c r="CP10" s="2">
        <v>0</v>
      </c>
      <c r="CQ10" s="3"/>
      <c r="CR10" s="2">
        <v>0</v>
      </c>
      <c r="CS10" s="3"/>
      <c r="CT10" s="2">
        <v>0</v>
      </c>
      <c r="CU10" s="3"/>
      <c r="CV10" s="2">
        <v>0</v>
      </c>
      <c r="CW10" s="3"/>
      <c r="CX10" s="2">
        <v>0</v>
      </c>
      <c r="CY10" s="3"/>
      <c r="CZ10" s="2">
        <v>0</v>
      </c>
      <c r="DA10" s="3"/>
      <c r="DB10" s="2">
        <v>0</v>
      </c>
      <c r="DC10" s="3"/>
      <c r="DD10" s="2">
        <v>0</v>
      </c>
      <c r="DE10" s="3"/>
      <c r="DF10" s="2">
        <v>0</v>
      </c>
      <c r="DG10" s="3"/>
      <c r="DH10" s="2">
        <v>0</v>
      </c>
      <c r="DI10" s="3"/>
      <c r="DJ10" s="2">
        <v>0</v>
      </c>
      <c r="DK10" s="3"/>
      <c r="DL10" s="2">
        <v>0</v>
      </c>
      <c r="DM10" s="3"/>
      <c r="DN10" s="2">
        <v>0</v>
      </c>
      <c r="DO10" s="3"/>
      <c r="DP10" s="2">
        <v>0</v>
      </c>
      <c r="DQ10" s="3"/>
      <c r="DR10" s="2">
        <v>0</v>
      </c>
      <c r="DS10" s="3"/>
      <c r="DT10" s="2">
        <v>-4066.83</v>
      </c>
      <c r="DU10" s="3"/>
      <c r="DV10" s="2">
        <v>-1385.7</v>
      </c>
      <c r="DW10" s="3"/>
      <c r="DX10" s="2">
        <v>0</v>
      </c>
      <c r="DY10" s="3"/>
      <c r="DZ10" s="2">
        <v>0</v>
      </c>
      <c r="EA10" s="3"/>
      <c r="EB10" s="2">
        <v>0</v>
      </c>
      <c r="EC10" s="3"/>
      <c r="ED10" s="2">
        <v>0</v>
      </c>
      <c r="EE10" s="3"/>
      <c r="EF10" s="2">
        <v>0</v>
      </c>
      <c r="EG10" s="3"/>
      <c r="EH10" s="2">
        <f t="shared" si="0"/>
        <v>-5452.53</v>
      </c>
    </row>
    <row r="11" spans="1:138" ht="14.65" thickBot="1" x14ac:dyDescent="0.5">
      <c r="A11" s="1"/>
      <c r="B11" s="1"/>
      <c r="C11" s="1"/>
      <c r="D11" s="1"/>
      <c r="E11" s="1" t="s">
        <v>76</v>
      </c>
      <c r="F11" s="4">
        <v>0</v>
      </c>
      <c r="G11" s="3"/>
      <c r="H11" s="4">
        <v>0</v>
      </c>
      <c r="I11" s="3"/>
      <c r="J11" s="4">
        <v>0</v>
      </c>
      <c r="K11" s="3"/>
      <c r="L11" s="4">
        <v>0</v>
      </c>
      <c r="M11" s="3"/>
      <c r="N11" s="4">
        <v>0</v>
      </c>
      <c r="O11" s="3"/>
      <c r="P11" s="4">
        <v>0</v>
      </c>
      <c r="Q11" s="3"/>
      <c r="R11" s="4">
        <v>0</v>
      </c>
      <c r="S11" s="3"/>
      <c r="T11" s="4">
        <v>0</v>
      </c>
      <c r="U11" s="3"/>
      <c r="V11" s="4">
        <v>0</v>
      </c>
      <c r="W11" s="3"/>
      <c r="X11" s="4">
        <v>0</v>
      </c>
      <c r="Y11" s="3"/>
      <c r="Z11" s="4">
        <v>0</v>
      </c>
      <c r="AA11" s="3"/>
      <c r="AB11" s="4">
        <v>0</v>
      </c>
      <c r="AC11" s="3"/>
      <c r="AD11" s="4">
        <v>0</v>
      </c>
      <c r="AE11" s="3"/>
      <c r="AF11" s="4">
        <v>0</v>
      </c>
      <c r="AG11" s="3"/>
      <c r="AH11" s="4">
        <v>0</v>
      </c>
      <c r="AI11" s="3"/>
      <c r="AJ11" s="4">
        <v>0</v>
      </c>
      <c r="AK11" s="3"/>
      <c r="AL11" s="4">
        <v>0</v>
      </c>
      <c r="AM11" s="3"/>
      <c r="AN11" s="4">
        <v>0</v>
      </c>
      <c r="AO11" s="3"/>
      <c r="AP11" s="4">
        <v>-1650.6</v>
      </c>
      <c r="AQ11" s="3"/>
      <c r="AR11" s="4">
        <v>0</v>
      </c>
      <c r="AS11" s="3"/>
      <c r="AT11" s="4">
        <v>0</v>
      </c>
      <c r="AU11" s="3"/>
      <c r="AV11" s="4">
        <v>0</v>
      </c>
      <c r="AW11" s="3"/>
      <c r="AX11" s="4">
        <v>0</v>
      </c>
      <c r="AY11" s="3"/>
      <c r="AZ11" s="4">
        <v>0</v>
      </c>
      <c r="BA11" s="3"/>
      <c r="BB11" s="4">
        <v>0</v>
      </c>
      <c r="BC11" s="3"/>
      <c r="BD11" s="4">
        <v>0</v>
      </c>
      <c r="BE11" s="3"/>
      <c r="BF11" s="4">
        <v>0</v>
      </c>
      <c r="BG11" s="3"/>
      <c r="BH11" s="4">
        <v>0</v>
      </c>
      <c r="BI11" s="3"/>
      <c r="BJ11" s="4">
        <v>0</v>
      </c>
      <c r="BK11" s="3"/>
      <c r="BL11" s="4">
        <v>0</v>
      </c>
      <c r="BM11" s="3"/>
      <c r="BN11" s="4">
        <v>0</v>
      </c>
      <c r="BO11" s="3"/>
      <c r="BP11" s="4">
        <v>0</v>
      </c>
      <c r="BQ11" s="3"/>
      <c r="BR11" s="4">
        <v>0</v>
      </c>
      <c r="BS11" s="3"/>
      <c r="BT11" s="4">
        <v>0</v>
      </c>
      <c r="BU11" s="3"/>
      <c r="BV11" s="4">
        <v>3.96</v>
      </c>
      <c r="BW11" s="3"/>
      <c r="BX11" s="4">
        <v>0</v>
      </c>
      <c r="BY11" s="3"/>
      <c r="BZ11" s="4">
        <v>0</v>
      </c>
      <c r="CA11" s="3"/>
      <c r="CB11" s="4">
        <v>0</v>
      </c>
      <c r="CC11" s="3"/>
      <c r="CD11" s="4">
        <v>0</v>
      </c>
      <c r="CE11" s="3"/>
      <c r="CF11" s="4">
        <v>0</v>
      </c>
      <c r="CG11" s="3"/>
      <c r="CH11" s="4">
        <v>0</v>
      </c>
      <c r="CI11" s="3"/>
      <c r="CJ11" s="4">
        <v>0</v>
      </c>
      <c r="CK11" s="3"/>
      <c r="CL11" s="4">
        <v>0</v>
      </c>
      <c r="CM11" s="3"/>
      <c r="CN11" s="4">
        <v>0</v>
      </c>
      <c r="CO11" s="3"/>
      <c r="CP11" s="4">
        <v>0</v>
      </c>
      <c r="CQ11" s="3"/>
      <c r="CR11" s="4">
        <v>0</v>
      </c>
      <c r="CS11" s="3"/>
      <c r="CT11" s="4">
        <v>0</v>
      </c>
      <c r="CU11" s="3"/>
      <c r="CV11" s="4">
        <v>0</v>
      </c>
      <c r="CW11" s="3"/>
      <c r="CX11" s="4">
        <v>0</v>
      </c>
      <c r="CY11" s="3"/>
      <c r="CZ11" s="4">
        <v>0</v>
      </c>
      <c r="DA11" s="3"/>
      <c r="DB11" s="4">
        <v>0</v>
      </c>
      <c r="DC11" s="3"/>
      <c r="DD11" s="4">
        <v>0</v>
      </c>
      <c r="DE11" s="3"/>
      <c r="DF11" s="4">
        <v>0</v>
      </c>
      <c r="DG11" s="3"/>
      <c r="DH11" s="4">
        <v>0</v>
      </c>
      <c r="DI11" s="3"/>
      <c r="DJ11" s="4">
        <v>0</v>
      </c>
      <c r="DK11" s="3"/>
      <c r="DL11" s="4">
        <v>0</v>
      </c>
      <c r="DM11" s="3"/>
      <c r="DN11" s="4">
        <v>0</v>
      </c>
      <c r="DO11" s="3"/>
      <c r="DP11" s="4">
        <v>0</v>
      </c>
      <c r="DQ11" s="3"/>
      <c r="DR11" s="4">
        <v>0</v>
      </c>
      <c r="DS11" s="3"/>
      <c r="DT11" s="4">
        <v>0</v>
      </c>
      <c r="DU11" s="3"/>
      <c r="DV11" s="4">
        <v>0</v>
      </c>
      <c r="DW11" s="3"/>
      <c r="DX11" s="4">
        <v>0</v>
      </c>
      <c r="DY11" s="3"/>
      <c r="DZ11" s="4">
        <v>0</v>
      </c>
      <c r="EA11" s="3"/>
      <c r="EB11" s="4">
        <v>0</v>
      </c>
      <c r="EC11" s="3"/>
      <c r="ED11" s="4">
        <v>0</v>
      </c>
      <c r="EE11" s="3"/>
      <c r="EF11" s="4">
        <v>0</v>
      </c>
      <c r="EG11" s="3"/>
      <c r="EH11" s="4">
        <f t="shared" si="0"/>
        <v>-1646.64</v>
      </c>
    </row>
    <row r="12" spans="1:138" x14ac:dyDescent="0.45">
      <c r="A12" s="1"/>
      <c r="B12" s="1"/>
      <c r="C12" s="1"/>
      <c r="D12" s="1" t="s">
        <v>77</v>
      </c>
      <c r="E12" s="1"/>
      <c r="F12" s="2">
        <f>ROUND(SUM(F3:F11),5)</f>
        <v>127756.44</v>
      </c>
      <c r="G12" s="3"/>
      <c r="H12" s="2">
        <f>ROUND(SUM(H3:H11),5)</f>
        <v>59685.25</v>
      </c>
      <c r="I12" s="3"/>
      <c r="J12" s="2">
        <f>ROUND(SUM(J3:J11),5)</f>
        <v>96302.67</v>
      </c>
      <c r="K12" s="3"/>
      <c r="L12" s="2">
        <f>ROUND(SUM(L3:L11),5)</f>
        <v>143170.37</v>
      </c>
      <c r="M12" s="3"/>
      <c r="N12" s="2">
        <f>ROUND(SUM(N3:N11),5)</f>
        <v>163965.73000000001</v>
      </c>
      <c r="O12" s="3"/>
      <c r="P12" s="2">
        <f>ROUND(SUM(P3:P11),5)</f>
        <v>224804.56</v>
      </c>
      <c r="Q12" s="3"/>
      <c r="R12" s="2">
        <f>ROUND(SUM(R3:R11),5)</f>
        <v>104575.22</v>
      </c>
      <c r="S12" s="3"/>
      <c r="T12" s="2">
        <f>ROUND(SUM(T3:T11),5)</f>
        <v>179984.72</v>
      </c>
      <c r="U12" s="3"/>
      <c r="V12" s="2">
        <f>ROUND(SUM(V3:V11),5)</f>
        <v>177615.88</v>
      </c>
      <c r="W12" s="3"/>
      <c r="X12" s="2">
        <f>ROUND(SUM(X3:X11),5)</f>
        <v>124007.14</v>
      </c>
      <c r="Y12" s="3"/>
      <c r="Z12" s="2">
        <f>ROUND(SUM(Z3:Z11),5)</f>
        <v>162749.48000000001</v>
      </c>
      <c r="AA12" s="3"/>
      <c r="AB12" s="2">
        <f>ROUND(SUM(AB3:AB11),5)</f>
        <v>128736.21</v>
      </c>
      <c r="AC12" s="3"/>
      <c r="AD12" s="2">
        <f>ROUND(SUM(AD3:AD11),5)</f>
        <v>100807.73</v>
      </c>
      <c r="AE12" s="3"/>
      <c r="AF12" s="2">
        <f>ROUND(SUM(AF3:AF11),5)</f>
        <v>254770.68</v>
      </c>
      <c r="AG12" s="3"/>
      <c r="AH12" s="2">
        <f>ROUND(SUM(AH3:AH11),5)</f>
        <v>239345.56</v>
      </c>
      <c r="AI12" s="3"/>
      <c r="AJ12" s="2">
        <f>ROUND(SUM(AJ3:AJ11),5)</f>
        <v>230443.28</v>
      </c>
      <c r="AK12" s="3"/>
      <c r="AL12" s="2">
        <f>ROUND(SUM(AL3:AL11),5)</f>
        <v>139540.21</v>
      </c>
      <c r="AM12" s="3"/>
      <c r="AN12" s="2">
        <f>ROUND(SUM(AN3:AN11),5)</f>
        <v>202197.4</v>
      </c>
      <c r="AO12" s="3"/>
      <c r="AP12" s="2">
        <f>ROUND(SUM(AP3:AP11),5)</f>
        <v>183750.53</v>
      </c>
      <c r="AQ12" s="3"/>
      <c r="AR12" s="2">
        <f>ROUND(SUM(AR3:AR11),5)</f>
        <v>291647.87</v>
      </c>
      <c r="AS12" s="3"/>
      <c r="AT12" s="2">
        <f>ROUND(SUM(AT3:AT11),5)</f>
        <v>135253.29</v>
      </c>
      <c r="AU12" s="3"/>
      <c r="AV12" s="2">
        <f>ROUND(SUM(AV3:AV11),5)</f>
        <v>140551.54</v>
      </c>
      <c r="AW12" s="3"/>
      <c r="AX12" s="2">
        <f>ROUND(SUM(AX3:AX11),5)</f>
        <v>212087.84</v>
      </c>
      <c r="AY12" s="3"/>
      <c r="AZ12" s="2">
        <f>ROUND(SUM(AZ3:AZ11),5)</f>
        <v>82775.31</v>
      </c>
      <c r="BA12" s="3"/>
      <c r="BB12" s="2">
        <f>ROUND(SUM(BB3:BB11),5)</f>
        <v>146523.94</v>
      </c>
      <c r="BC12" s="3"/>
      <c r="BD12" s="2">
        <f>ROUND(SUM(BD3:BD11),5)</f>
        <v>188732.88</v>
      </c>
      <c r="BE12" s="3"/>
      <c r="BF12" s="2">
        <f>ROUND(SUM(BF3:BF11),5)</f>
        <v>221609.41</v>
      </c>
      <c r="BG12" s="3"/>
      <c r="BH12" s="2">
        <f>ROUND(SUM(BH3:BH11),5)</f>
        <v>213024.84</v>
      </c>
      <c r="BI12" s="3"/>
      <c r="BJ12" s="2">
        <f>ROUND(SUM(BJ3:BJ11),5)</f>
        <v>214892.13</v>
      </c>
      <c r="BK12" s="3"/>
      <c r="BL12" s="2">
        <f>ROUND(SUM(BL3:BL11),5)</f>
        <v>190820.86</v>
      </c>
      <c r="BM12" s="3"/>
      <c r="BN12" s="2">
        <f>ROUND(SUM(BN3:BN11),5)</f>
        <v>145413.17000000001</v>
      </c>
      <c r="BO12" s="3"/>
      <c r="BP12" s="2">
        <f>ROUND(SUM(BP3:BP11),5)</f>
        <v>155467.82999999999</v>
      </c>
      <c r="BQ12" s="3"/>
      <c r="BR12" s="2">
        <f>ROUND(SUM(BR3:BR11),5)</f>
        <v>161887.84</v>
      </c>
      <c r="BS12" s="3"/>
      <c r="BT12" s="2">
        <f>ROUND(SUM(BT3:BT11),5)</f>
        <v>138197.84</v>
      </c>
      <c r="BU12" s="3"/>
      <c r="BV12" s="2">
        <f>ROUND(SUM(BV3:BV11),5)</f>
        <v>150657.09</v>
      </c>
      <c r="BW12" s="3"/>
      <c r="BX12" s="2">
        <f>ROUND(SUM(BX3:BX11),5)</f>
        <v>88259.18</v>
      </c>
      <c r="BY12" s="3"/>
      <c r="BZ12" s="2">
        <f>ROUND(SUM(BZ3:BZ11),5)</f>
        <v>89699.58</v>
      </c>
      <c r="CA12" s="3"/>
      <c r="CB12" s="2">
        <f>ROUND(SUM(CB3:CB11),5)</f>
        <v>180279.78</v>
      </c>
      <c r="CC12" s="3"/>
      <c r="CD12" s="2">
        <f>ROUND(SUM(CD3:CD11),5)</f>
        <v>122446.51</v>
      </c>
      <c r="CE12" s="3"/>
      <c r="CF12" s="2">
        <f>ROUND(SUM(CF3:CF11),5)</f>
        <v>127654.82</v>
      </c>
      <c r="CG12" s="3"/>
      <c r="CH12" s="2">
        <f>ROUND(SUM(CH3:CH11),5)</f>
        <v>144165.25</v>
      </c>
      <c r="CI12" s="3"/>
      <c r="CJ12" s="2">
        <f>ROUND(SUM(CJ3:CJ11),5)</f>
        <v>119947.08</v>
      </c>
      <c r="CK12" s="3"/>
      <c r="CL12" s="2">
        <f>ROUND(SUM(CL3:CL11),5)</f>
        <v>165630.78</v>
      </c>
      <c r="CM12" s="3"/>
      <c r="CN12" s="2">
        <f>ROUND(SUM(CN3:CN11),5)</f>
        <v>146679.67000000001</v>
      </c>
      <c r="CO12" s="3"/>
      <c r="CP12" s="2">
        <f>ROUND(SUM(CP3:CP11),5)</f>
        <v>166161.84</v>
      </c>
      <c r="CQ12" s="3"/>
      <c r="CR12" s="2">
        <f>ROUND(SUM(CR3:CR11),5)</f>
        <v>119040.36</v>
      </c>
      <c r="CS12" s="3"/>
      <c r="CT12" s="2">
        <f>ROUND(SUM(CT3:CT11),5)</f>
        <v>141258.70000000001</v>
      </c>
      <c r="CU12" s="3"/>
      <c r="CV12" s="2">
        <f>ROUND(SUM(CV3:CV11),5)</f>
        <v>93787.09</v>
      </c>
      <c r="CW12" s="3"/>
      <c r="CX12" s="2">
        <f>ROUND(SUM(CX3:CX11),5)</f>
        <v>150087.01999999999</v>
      </c>
      <c r="CY12" s="3"/>
      <c r="CZ12" s="2">
        <f>ROUND(SUM(CZ3:CZ11),5)</f>
        <v>98279.14</v>
      </c>
      <c r="DA12" s="3"/>
      <c r="DB12" s="2">
        <f>ROUND(SUM(DB3:DB11),5)</f>
        <v>206323.82</v>
      </c>
      <c r="DC12" s="3"/>
      <c r="DD12" s="2">
        <f>ROUND(SUM(DD3:DD11),5)</f>
        <v>179418.03</v>
      </c>
      <c r="DE12" s="3"/>
      <c r="DF12" s="2">
        <f>ROUND(SUM(DF3:DF11),5)</f>
        <v>132062.66</v>
      </c>
      <c r="DG12" s="3"/>
      <c r="DH12" s="2">
        <f>ROUND(SUM(DH3:DH11),5)</f>
        <v>146009.98000000001</v>
      </c>
      <c r="DI12" s="3"/>
      <c r="DJ12" s="2">
        <f>ROUND(SUM(DJ3:DJ11),5)</f>
        <v>130581.84</v>
      </c>
      <c r="DK12" s="3"/>
      <c r="DL12" s="2">
        <f>ROUND(SUM(DL3:DL11),5)</f>
        <v>154630.03</v>
      </c>
      <c r="DM12" s="3"/>
      <c r="DN12" s="2">
        <f>ROUND(SUM(DN3:DN11),5)</f>
        <v>165786.64000000001</v>
      </c>
      <c r="DO12" s="3"/>
      <c r="DP12" s="2">
        <f>ROUND(SUM(DP3:DP11),5)</f>
        <v>129373.82</v>
      </c>
      <c r="DQ12" s="3"/>
      <c r="DR12" s="2">
        <f>ROUND(SUM(DR3:DR11),5)</f>
        <v>142403.31</v>
      </c>
      <c r="DS12" s="3"/>
      <c r="DT12" s="2">
        <f>ROUND(SUM(DT3:DT11),5)</f>
        <v>156642.88</v>
      </c>
      <c r="DU12" s="3"/>
      <c r="DV12" s="2">
        <f>ROUND(SUM(DV3:DV11),5)</f>
        <v>238719.53</v>
      </c>
      <c r="DW12" s="3"/>
      <c r="DX12" s="2">
        <f>ROUND(SUM(DX3:DX11),5)</f>
        <v>147571.69</v>
      </c>
      <c r="DY12" s="3"/>
      <c r="DZ12" s="2">
        <f>ROUND(SUM(DZ3:DZ11),5)</f>
        <v>142228</v>
      </c>
      <c r="EA12" s="3"/>
      <c r="EB12" s="2">
        <f>ROUND(SUM(EB3:EB11),5)</f>
        <v>154531.34</v>
      </c>
      <c r="EC12" s="3"/>
      <c r="ED12" s="2">
        <f>ROUND(SUM(ED3:ED11),5)</f>
        <v>183225.38</v>
      </c>
      <c r="EE12" s="3"/>
      <c r="EF12" s="2">
        <f>ROUND(SUM(EF3:EF11),5)</f>
        <v>227429.28</v>
      </c>
      <c r="EG12" s="3"/>
      <c r="EH12" s="2">
        <f t="shared" si="0"/>
        <v>10424067.77</v>
      </c>
    </row>
    <row r="13" spans="1:138" x14ac:dyDescent="0.45">
      <c r="A13" s="1"/>
      <c r="B13" s="1"/>
      <c r="C13" s="1"/>
      <c r="D13" s="1" t="s">
        <v>78</v>
      </c>
      <c r="E13" s="1"/>
      <c r="F13" s="2"/>
      <c r="G13" s="3"/>
      <c r="H13" s="2"/>
      <c r="I13" s="3"/>
      <c r="J13" s="2"/>
      <c r="K13" s="3"/>
      <c r="L13" s="2"/>
      <c r="M13" s="3"/>
      <c r="N13" s="2"/>
      <c r="O13" s="3"/>
      <c r="P13" s="2"/>
      <c r="Q13" s="3"/>
      <c r="R13" s="2"/>
      <c r="S13" s="3"/>
      <c r="T13" s="2"/>
      <c r="U13" s="3"/>
      <c r="V13" s="2"/>
      <c r="W13" s="3"/>
      <c r="X13" s="2"/>
      <c r="Y13" s="3"/>
      <c r="Z13" s="2"/>
      <c r="AA13" s="3"/>
      <c r="AB13" s="2"/>
      <c r="AC13" s="3"/>
      <c r="AD13" s="2"/>
      <c r="AE13" s="3"/>
      <c r="AF13" s="2"/>
      <c r="AG13" s="3"/>
      <c r="AH13" s="2"/>
      <c r="AI13" s="3"/>
      <c r="AJ13" s="2"/>
      <c r="AK13" s="3"/>
      <c r="AL13" s="2"/>
      <c r="AM13" s="3"/>
      <c r="AN13" s="2"/>
      <c r="AO13" s="3"/>
      <c r="AP13" s="2"/>
      <c r="AQ13" s="3"/>
      <c r="AR13" s="2"/>
      <c r="AS13" s="3"/>
      <c r="AT13" s="2"/>
      <c r="AU13" s="3"/>
      <c r="AV13" s="2"/>
      <c r="AW13" s="3"/>
      <c r="AX13" s="2"/>
      <c r="AY13" s="3"/>
      <c r="AZ13" s="2"/>
      <c r="BA13" s="3"/>
      <c r="BB13" s="2"/>
      <c r="BC13" s="3"/>
      <c r="BD13" s="2"/>
      <c r="BE13" s="3"/>
      <c r="BF13" s="2"/>
      <c r="BG13" s="3"/>
      <c r="BH13" s="2"/>
      <c r="BI13" s="3"/>
      <c r="BJ13" s="2"/>
      <c r="BK13" s="3"/>
      <c r="BL13" s="2"/>
      <c r="BM13" s="3"/>
      <c r="BN13" s="2"/>
      <c r="BO13" s="3"/>
      <c r="BP13" s="2"/>
      <c r="BQ13" s="3"/>
      <c r="BR13" s="2"/>
      <c r="BS13" s="3"/>
      <c r="BT13" s="2"/>
      <c r="BU13" s="3"/>
      <c r="BV13" s="2"/>
      <c r="BW13" s="3"/>
      <c r="BX13" s="2"/>
      <c r="BY13" s="3"/>
      <c r="BZ13" s="2"/>
      <c r="CA13" s="3"/>
      <c r="CB13" s="2"/>
      <c r="CC13" s="3"/>
      <c r="CD13" s="2"/>
      <c r="CE13" s="3"/>
      <c r="CF13" s="2"/>
      <c r="CG13" s="3"/>
      <c r="CH13" s="2"/>
      <c r="CI13" s="3"/>
      <c r="CJ13" s="2"/>
      <c r="CK13" s="3"/>
      <c r="CL13" s="2"/>
      <c r="CM13" s="3"/>
      <c r="CN13" s="2"/>
      <c r="CO13" s="3"/>
      <c r="CP13" s="2"/>
      <c r="CQ13" s="3"/>
      <c r="CR13" s="2"/>
      <c r="CS13" s="3"/>
      <c r="CT13" s="2"/>
      <c r="CU13" s="3"/>
      <c r="CV13" s="2"/>
      <c r="CW13" s="3"/>
      <c r="CX13" s="2"/>
      <c r="CY13" s="3"/>
      <c r="CZ13" s="2"/>
      <c r="DA13" s="3"/>
      <c r="DB13" s="2"/>
      <c r="DC13" s="3"/>
      <c r="DD13" s="2"/>
      <c r="DE13" s="3"/>
      <c r="DF13" s="2"/>
      <c r="DG13" s="3"/>
      <c r="DH13" s="2"/>
      <c r="DI13" s="3"/>
      <c r="DJ13" s="2"/>
      <c r="DK13" s="3"/>
      <c r="DL13" s="2"/>
      <c r="DM13" s="3"/>
      <c r="DN13" s="2"/>
      <c r="DO13" s="3"/>
      <c r="DP13" s="2"/>
      <c r="DQ13" s="3"/>
      <c r="DR13" s="2"/>
      <c r="DS13" s="3"/>
      <c r="DT13" s="2"/>
      <c r="DU13" s="3"/>
      <c r="DV13" s="2"/>
      <c r="DW13" s="3"/>
      <c r="DX13" s="2"/>
      <c r="DY13" s="3"/>
      <c r="DZ13" s="2"/>
      <c r="EA13" s="3"/>
      <c r="EB13" s="2"/>
      <c r="EC13" s="3"/>
      <c r="ED13" s="2"/>
      <c r="EE13" s="3"/>
      <c r="EF13" s="2"/>
      <c r="EG13" s="3"/>
      <c r="EH13" s="2"/>
    </row>
    <row r="14" spans="1:138" x14ac:dyDescent="0.45">
      <c r="A14" s="1"/>
      <c r="B14" s="1"/>
      <c r="C14" s="1"/>
      <c r="D14" s="1"/>
      <c r="E14" s="1" t="s">
        <v>79</v>
      </c>
      <c r="F14" s="2">
        <v>13237.49</v>
      </c>
      <c r="G14" s="3"/>
      <c r="H14" s="2">
        <v>2.96</v>
      </c>
      <c r="I14" s="3"/>
      <c r="J14" s="2">
        <v>-3753.1</v>
      </c>
      <c r="K14" s="3"/>
      <c r="L14" s="2">
        <v>112.4</v>
      </c>
      <c r="M14" s="3"/>
      <c r="N14" s="2">
        <v>20688.71</v>
      </c>
      <c r="O14" s="3"/>
      <c r="P14" s="2">
        <v>27747.71</v>
      </c>
      <c r="Q14" s="3"/>
      <c r="R14" s="2">
        <v>40.99</v>
      </c>
      <c r="S14" s="3"/>
      <c r="T14" s="2">
        <v>22961.759999999998</v>
      </c>
      <c r="U14" s="3"/>
      <c r="V14" s="2">
        <v>-1629.16</v>
      </c>
      <c r="W14" s="3"/>
      <c r="X14" s="2">
        <v>-3480.25</v>
      </c>
      <c r="Y14" s="3"/>
      <c r="Z14" s="2">
        <v>17787.39</v>
      </c>
      <c r="AA14" s="3"/>
      <c r="AB14" s="2">
        <v>18081.5</v>
      </c>
      <c r="AC14" s="3"/>
      <c r="AD14" s="2">
        <v>1756.8</v>
      </c>
      <c r="AE14" s="3"/>
      <c r="AF14" s="2">
        <v>59247.55</v>
      </c>
      <c r="AG14" s="3"/>
      <c r="AH14" s="2">
        <v>27557.18</v>
      </c>
      <c r="AI14" s="3"/>
      <c r="AJ14" s="2">
        <v>24215.11</v>
      </c>
      <c r="AK14" s="3"/>
      <c r="AL14" s="2">
        <v>-360</v>
      </c>
      <c r="AM14" s="3"/>
      <c r="AN14" s="2">
        <v>21480.82</v>
      </c>
      <c r="AO14" s="3"/>
      <c r="AP14" s="2">
        <v>21551.22</v>
      </c>
      <c r="AQ14" s="3"/>
      <c r="AR14" s="2">
        <v>31138.27</v>
      </c>
      <c r="AS14" s="3"/>
      <c r="AT14" s="2">
        <v>34210.870000000003</v>
      </c>
      <c r="AU14" s="3"/>
      <c r="AV14" s="2">
        <v>5.92</v>
      </c>
      <c r="AW14" s="3"/>
      <c r="AX14" s="2">
        <v>37608.47</v>
      </c>
      <c r="AY14" s="3"/>
      <c r="AZ14" s="2">
        <v>-52574.82</v>
      </c>
      <c r="BA14" s="3"/>
      <c r="BB14" s="2">
        <v>7852.03</v>
      </c>
      <c r="BC14" s="3"/>
      <c r="BD14" s="2">
        <v>22025.55</v>
      </c>
      <c r="BE14" s="3"/>
      <c r="BF14" s="2">
        <v>22147.43</v>
      </c>
      <c r="BG14" s="3"/>
      <c r="BH14" s="2">
        <v>23416.07</v>
      </c>
      <c r="BI14" s="3"/>
      <c r="BJ14" s="2">
        <v>22570.22</v>
      </c>
      <c r="BK14" s="3"/>
      <c r="BL14" s="2">
        <v>22832.799999999999</v>
      </c>
      <c r="BM14" s="3"/>
      <c r="BN14" s="2">
        <v>5633.92</v>
      </c>
      <c r="BO14" s="3"/>
      <c r="BP14" s="2">
        <v>6270.57</v>
      </c>
      <c r="BQ14" s="3"/>
      <c r="BR14" s="2">
        <v>173.91</v>
      </c>
      <c r="BS14" s="3"/>
      <c r="BT14" s="2">
        <v>10.06</v>
      </c>
      <c r="BU14" s="3"/>
      <c r="BV14" s="2">
        <v>22746.74</v>
      </c>
      <c r="BW14" s="3"/>
      <c r="BX14" s="2">
        <v>-11962.58</v>
      </c>
      <c r="BY14" s="3"/>
      <c r="BZ14" s="2">
        <v>87.5</v>
      </c>
      <c r="CA14" s="3"/>
      <c r="CB14" s="2">
        <v>-98.32</v>
      </c>
      <c r="CC14" s="3"/>
      <c r="CD14" s="2">
        <v>-261.73</v>
      </c>
      <c r="CE14" s="3"/>
      <c r="CF14" s="2">
        <v>3.35</v>
      </c>
      <c r="CG14" s="3"/>
      <c r="CH14" s="2">
        <v>56.22</v>
      </c>
      <c r="CI14" s="3"/>
      <c r="CJ14" s="2">
        <v>2858.33</v>
      </c>
      <c r="CK14" s="3"/>
      <c r="CL14" s="2">
        <v>20.11</v>
      </c>
      <c r="CM14" s="3"/>
      <c r="CN14" s="2">
        <v>290.05</v>
      </c>
      <c r="CO14" s="3"/>
      <c r="CP14" s="2">
        <v>36.869999999999997</v>
      </c>
      <c r="CQ14" s="3"/>
      <c r="CR14" s="2">
        <v>3.35</v>
      </c>
      <c r="CS14" s="3"/>
      <c r="CT14" s="2">
        <v>10.69</v>
      </c>
      <c r="CU14" s="3"/>
      <c r="CV14" s="2">
        <v>4677.47</v>
      </c>
      <c r="CW14" s="3"/>
      <c r="CX14" s="2">
        <v>9360.39</v>
      </c>
      <c r="CY14" s="3"/>
      <c r="CZ14" s="2">
        <v>4972.68</v>
      </c>
      <c r="DA14" s="3"/>
      <c r="DB14" s="2">
        <v>5219.08</v>
      </c>
      <c r="DC14" s="3"/>
      <c r="DD14" s="2">
        <v>16658.7</v>
      </c>
      <c r="DE14" s="3"/>
      <c r="DF14" s="2">
        <v>7686.79</v>
      </c>
      <c r="DG14" s="3"/>
      <c r="DH14" s="2">
        <v>10632.85</v>
      </c>
      <c r="DI14" s="3"/>
      <c r="DJ14" s="2">
        <v>15678.44</v>
      </c>
      <c r="DK14" s="3"/>
      <c r="DL14" s="2">
        <v>11027.67</v>
      </c>
      <c r="DM14" s="3"/>
      <c r="DN14" s="2">
        <v>22413.74</v>
      </c>
      <c r="DO14" s="3"/>
      <c r="DP14" s="2">
        <v>17425.009999999998</v>
      </c>
      <c r="DQ14" s="3"/>
      <c r="DR14" s="2">
        <v>28242.880000000001</v>
      </c>
      <c r="DS14" s="3"/>
      <c r="DT14" s="2">
        <v>-28180.46</v>
      </c>
      <c r="DU14" s="3"/>
      <c r="DV14" s="2">
        <v>33708.07</v>
      </c>
      <c r="DW14" s="3"/>
      <c r="DX14" s="2">
        <v>29132.19</v>
      </c>
      <c r="DY14" s="3"/>
      <c r="DZ14" s="2">
        <v>-9858.56</v>
      </c>
      <c r="EA14" s="3"/>
      <c r="EB14" s="2">
        <v>5.89</v>
      </c>
      <c r="EC14" s="3"/>
      <c r="ED14" s="2">
        <v>11613.97</v>
      </c>
      <c r="EE14" s="3"/>
      <c r="EF14" s="2">
        <v>40434.17</v>
      </c>
      <c r="EG14" s="3"/>
      <c r="EH14" s="2">
        <f t="shared" ref="EH14:EH45" si="1">ROUND(SUM(F14:EF14),5)</f>
        <v>695209.9</v>
      </c>
    </row>
    <row r="15" spans="1:138" x14ac:dyDescent="0.45">
      <c r="A15" s="1"/>
      <c r="B15" s="1"/>
      <c r="C15" s="1"/>
      <c r="D15" s="1"/>
      <c r="E15" s="1" t="s">
        <v>80</v>
      </c>
      <c r="F15" s="2">
        <v>11808.97</v>
      </c>
      <c r="G15" s="3"/>
      <c r="H15" s="2">
        <v>4908.34</v>
      </c>
      <c r="I15" s="3"/>
      <c r="J15" s="2">
        <v>5338.08</v>
      </c>
      <c r="K15" s="3"/>
      <c r="L15" s="2">
        <v>15466.68</v>
      </c>
      <c r="M15" s="3"/>
      <c r="N15" s="2">
        <v>19264.38</v>
      </c>
      <c r="O15" s="3"/>
      <c r="P15" s="2">
        <v>21779.18</v>
      </c>
      <c r="Q15" s="3"/>
      <c r="R15" s="2">
        <v>6100.44</v>
      </c>
      <c r="S15" s="3"/>
      <c r="T15" s="2">
        <v>9589.36</v>
      </c>
      <c r="U15" s="3"/>
      <c r="V15" s="2">
        <v>42966.42</v>
      </c>
      <c r="W15" s="3"/>
      <c r="X15" s="2">
        <v>4443.43</v>
      </c>
      <c r="Y15" s="3"/>
      <c r="Z15" s="2">
        <v>20137.080000000002</v>
      </c>
      <c r="AA15" s="3"/>
      <c r="AB15" s="2">
        <v>-4027.2</v>
      </c>
      <c r="AC15" s="3"/>
      <c r="AD15" s="2">
        <v>20991.57</v>
      </c>
      <c r="AE15" s="3"/>
      <c r="AF15" s="2">
        <v>-240.42</v>
      </c>
      <c r="AG15" s="3"/>
      <c r="AH15" s="2">
        <v>38497.61</v>
      </c>
      <c r="AI15" s="3"/>
      <c r="AJ15" s="2">
        <v>20904.84</v>
      </c>
      <c r="AK15" s="3"/>
      <c r="AL15" s="2">
        <v>8209.1</v>
      </c>
      <c r="AM15" s="3"/>
      <c r="AN15" s="2">
        <v>1627.82</v>
      </c>
      <c r="AO15" s="3"/>
      <c r="AP15" s="2">
        <v>15309.63</v>
      </c>
      <c r="AQ15" s="3"/>
      <c r="AR15" s="2">
        <v>19804.84</v>
      </c>
      <c r="AS15" s="3"/>
      <c r="AT15" s="2">
        <v>8204.92</v>
      </c>
      <c r="AU15" s="3"/>
      <c r="AV15" s="2">
        <v>25257.89</v>
      </c>
      <c r="AW15" s="3"/>
      <c r="AX15" s="2">
        <v>34370.980000000003</v>
      </c>
      <c r="AY15" s="3"/>
      <c r="AZ15" s="2">
        <v>-21565.34</v>
      </c>
      <c r="BA15" s="3"/>
      <c r="BB15" s="2">
        <v>-70065.42</v>
      </c>
      <c r="BC15" s="3"/>
      <c r="BD15" s="2">
        <v>12800.93</v>
      </c>
      <c r="BE15" s="3"/>
      <c r="BF15" s="2">
        <v>81127.05</v>
      </c>
      <c r="BG15" s="3"/>
      <c r="BH15" s="2">
        <v>15385.88</v>
      </c>
      <c r="BI15" s="3"/>
      <c r="BJ15" s="2">
        <v>30510.98</v>
      </c>
      <c r="BK15" s="3"/>
      <c r="BL15" s="2">
        <v>9401.48</v>
      </c>
      <c r="BM15" s="3"/>
      <c r="BN15" s="2">
        <v>114681.5</v>
      </c>
      <c r="BO15" s="3"/>
      <c r="BP15" s="2">
        <v>8504.81</v>
      </c>
      <c r="BQ15" s="3"/>
      <c r="BR15" s="2">
        <v>11339.99</v>
      </c>
      <c r="BS15" s="3"/>
      <c r="BT15" s="2">
        <v>7652.5</v>
      </c>
      <c r="BU15" s="3"/>
      <c r="BV15" s="2">
        <v>6948.94</v>
      </c>
      <c r="BW15" s="3"/>
      <c r="BX15" s="2">
        <v>-39737.230000000003</v>
      </c>
      <c r="BY15" s="3"/>
      <c r="BZ15" s="2">
        <v>-15078.22</v>
      </c>
      <c r="CA15" s="3"/>
      <c r="CB15" s="2">
        <v>17457.8</v>
      </c>
      <c r="CC15" s="3"/>
      <c r="CD15" s="2">
        <v>28264.71</v>
      </c>
      <c r="CE15" s="3"/>
      <c r="CF15" s="2">
        <v>19209.740000000002</v>
      </c>
      <c r="CG15" s="3"/>
      <c r="CH15" s="2">
        <v>18805.53</v>
      </c>
      <c r="CI15" s="3"/>
      <c r="CJ15" s="2">
        <v>8736.4699999999993</v>
      </c>
      <c r="CK15" s="3"/>
      <c r="CL15" s="2">
        <v>13018.65</v>
      </c>
      <c r="CM15" s="3"/>
      <c r="CN15" s="2">
        <v>6199.73</v>
      </c>
      <c r="CO15" s="3"/>
      <c r="CP15" s="2">
        <v>31636.21</v>
      </c>
      <c r="CQ15" s="3"/>
      <c r="CR15" s="2">
        <v>5592.78</v>
      </c>
      <c r="CS15" s="3"/>
      <c r="CT15" s="2">
        <v>8192.7999999999993</v>
      </c>
      <c r="CU15" s="3"/>
      <c r="CV15" s="2">
        <v>-995.93</v>
      </c>
      <c r="CW15" s="3"/>
      <c r="CX15" s="2">
        <v>14272.14</v>
      </c>
      <c r="CY15" s="3"/>
      <c r="CZ15" s="2">
        <v>5474.6</v>
      </c>
      <c r="DA15" s="3"/>
      <c r="DB15" s="2">
        <v>16644.91</v>
      </c>
      <c r="DC15" s="3"/>
      <c r="DD15" s="2">
        <v>5147.93</v>
      </c>
      <c r="DE15" s="3"/>
      <c r="DF15" s="2">
        <v>857.53</v>
      </c>
      <c r="DG15" s="3"/>
      <c r="DH15" s="2">
        <v>1723.43</v>
      </c>
      <c r="DI15" s="3"/>
      <c r="DJ15" s="2">
        <v>1964.64</v>
      </c>
      <c r="DK15" s="3"/>
      <c r="DL15" s="2">
        <v>25398.91</v>
      </c>
      <c r="DM15" s="3"/>
      <c r="DN15" s="2">
        <v>6286.17</v>
      </c>
      <c r="DO15" s="3"/>
      <c r="DP15" s="2">
        <v>5824.79</v>
      </c>
      <c r="DQ15" s="3"/>
      <c r="DR15" s="2">
        <v>4025.58</v>
      </c>
      <c r="DS15" s="3"/>
      <c r="DT15" s="2">
        <v>52078.34</v>
      </c>
      <c r="DU15" s="3"/>
      <c r="DV15" s="2">
        <v>4812.1899999999996</v>
      </c>
      <c r="DW15" s="3"/>
      <c r="DX15" s="2">
        <v>6736.43</v>
      </c>
      <c r="DY15" s="3"/>
      <c r="DZ15" s="2">
        <v>37617.26</v>
      </c>
      <c r="EA15" s="3"/>
      <c r="EB15" s="2">
        <v>161548.46</v>
      </c>
      <c r="EC15" s="3"/>
      <c r="ED15" s="2">
        <v>30444.32</v>
      </c>
      <c r="EE15" s="3"/>
      <c r="EF15" s="2">
        <v>11156.33</v>
      </c>
      <c r="EG15" s="3"/>
      <c r="EH15" s="2">
        <f t="shared" si="1"/>
        <v>1050754.24</v>
      </c>
    </row>
    <row r="16" spans="1:138" x14ac:dyDescent="0.45">
      <c r="A16" s="1"/>
      <c r="B16" s="1"/>
      <c r="C16" s="1"/>
      <c r="D16" s="1"/>
      <c r="E16" s="1" t="s">
        <v>81</v>
      </c>
      <c r="F16" s="2">
        <v>17620.86</v>
      </c>
      <c r="G16" s="3"/>
      <c r="H16" s="2">
        <v>32204.16</v>
      </c>
      <c r="I16" s="3"/>
      <c r="J16" s="2">
        <v>28690.560000000001</v>
      </c>
      <c r="K16" s="3"/>
      <c r="L16" s="2">
        <v>33384.980000000003</v>
      </c>
      <c r="M16" s="3"/>
      <c r="N16" s="2">
        <v>21759.08</v>
      </c>
      <c r="O16" s="3"/>
      <c r="P16" s="2">
        <v>56989.82</v>
      </c>
      <c r="Q16" s="3"/>
      <c r="R16" s="2">
        <v>22468.33</v>
      </c>
      <c r="S16" s="3"/>
      <c r="T16" s="2">
        <v>15485.15</v>
      </c>
      <c r="U16" s="3"/>
      <c r="V16" s="2">
        <v>23277.95</v>
      </c>
      <c r="W16" s="3"/>
      <c r="X16" s="2">
        <v>29318.11</v>
      </c>
      <c r="Y16" s="3"/>
      <c r="Z16" s="2">
        <v>71245.119999999995</v>
      </c>
      <c r="AA16" s="3"/>
      <c r="AB16" s="2">
        <v>26105.41</v>
      </c>
      <c r="AC16" s="3"/>
      <c r="AD16" s="2">
        <v>12349.11</v>
      </c>
      <c r="AE16" s="3"/>
      <c r="AF16" s="2">
        <v>29214.03</v>
      </c>
      <c r="AG16" s="3"/>
      <c r="AH16" s="2">
        <v>33119.949999999997</v>
      </c>
      <c r="AI16" s="3"/>
      <c r="AJ16" s="2">
        <v>29957.96</v>
      </c>
      <c r="AK16" s="3"/>
      <c r="AL16" s="2">
        <v>23416.959999999999</v>
      </c>
      <c r="AM16" s="3"/>
      <c r="AN16" s="2">
        <v>5680.18</v>
      </c>
      <c r="AO16" s="3"/>
      <c r="AP16" s="2">
        <v>25554</v>
      </c>
      <c r="AQ16" s="3"/>
      <c r="AR16" s="2">
        <v>37441.339999999997</v>
      </c>
      <c r="AS16" s="3"/>
      <c r="AT16" s="2">
        <v>25578.15</v>
      </c>
      <c r="AU16" s="3"/>
      <c r="AV16" s="2">
        <v>35127.589999999997</v>
      </c>
      <c r="AW16" s="3"/>
      <c r="AX16" s="2">
        <v>32034.36</v>
      </c>
      <c r="AY16" s="3"/>
      <c r="AZ16" s="2">
        <v>43025.56</v>
      </c>
      <c r="BA16" s="3"/>
      <c r="BB16" s="2">
        <v>-52221.599999999999</v>
      </c>
      <c r="BC16" s="3"/>
      <c r="BD16" s="2">
        <v>8696.86</v>
      </c>
      <c r="BE16" s="3"/>
      <c r="BF16" s="2">
        <v>41228.44</v>
      </c>
      <c r="BG16" s="3"/>
      <c r="BH16" s="2">
        <v>33050.129999999997</v>
      </c>
      <c r="BI16" s="3"/>
      <c r="BJ16" s="2">
        <v>40679.089999999997</v>
      </c>
      <c r="BK16" s="3"/>
      <c r="BL16" s="2">
        <v>36180.21</v>
      </c>
      <c r="BM16" s="3"/>
      <c r="BN16" s="2">
        <v>22748.34</v>
      </c>
      <c r="BO16" s="3"/>
      <c r="BP16" s="2">
        <v>35184.949999999997</v>
      </c>
      <c r="BQ16" s="3"/>
      <c r="BR16" s="2">
        <v>22134.28</v>
      </c>
      <c r="BS16" s="3"/>
      <c r="BT16" s="2">
        <v>22132.25</v>
      </c>
      <c r="BU16" s="3"/>
      <c r="BV16" s="2">
        <v>31433.34</v>
      </c>
      <c r="BW16" s="3"/>
      <c r="BX16" s="2">
        <v>-25841.69</v>
      </c>
      <c r="BY16" s="3"/>
      <c r="BZ16" s="2">
        <v>12581.11</v>
      </c>
      <c r="CA16" s="3"/>
      <c r="CB16" s="2">
        <v>29654.46</v>
      </c>
      <c r="CC16" s="3"/>
      <c r="CD16" s="2">
        <v>18774.759999999998</v>
      </c>
      <c r="CE16" s="3"/>
      <c r="CF16" s="2">
        <v>32716.5</v>
      </c>
      <c r="CG16" s="3"/>
      <c r="CH16" s="2">
        <v>20932.580000000002</v>
      </c>
      <c r="CI16" s="3"/>
      <c r="CJ16" s="2">
        <v>17373.03</v>
      </c>
      <c r="CK16" s="3"/>
      <c r="CL16" s="2">
        <v>26230.23</v>
      </c>
      <c r="CM16" s="3"/>
      <c r="CN16" s="2">
        <v>24416.99</v>
      </c>
      <c r="CO16" s="3"/>
      <c r="CP16" s="2">
        <v>18409.82</v>
      </c>
      <c r="CQ16" s="3"/>
      <c r="CR16" s="2">
        <v>19302.400000000001</v>
      </c>
      <c r="CS16" s="3"/>
      <c r="CT16" s="2">
        <v>26354.81</v>
      </c>
      <c r="CU16" s="3"/>
      <c r="CV16" s="2">
        <v>-3348.57</v>
      </c>
      <c r="CW16" s="3"/>
      <c r="CX16" s="2">
        <v>20984.93</v>
      </c>
      <c r="CY16" s="3"/>
      <c r="CZ16" s="2">
        <v>559.9</v>
      </c>
      <c r="DA16" s="3"/>
      <c r="DB16" s="2">
        <v>53390.23</v>
      </c>
      <c r="DC16" s="3"/>
      <c r="DD16" s="2">
        <v>27418.94</v>
      </c>
      <c r="DE16" s="3"/>
      <c r="DF16" s="2">
        <v>15515.8</v>
      </c>
      <c r="DG16" s="3"/>
      <c r="DH16" s="2">
        <v>18969.509999999998</v>
      </c>
      <c r="DI16" s="3"/>
      <c r="DJ16" s="2">
        <v>12797.4</v>
      </c>
      <c r="DK16" s="3"/>
      <c r="DL16" s="2">
        <v>17393.13</v>
      </c>
      <c r="DM16" s="3"/>
      <c r="DN16" s="2">
        <v>16307.48</v>
      </c>
      <c r="DO16" s="3"/>
      <c r="DP16" s="2">
        <v>17439.84</v>
      </c>
      <c r="DQ16" s="3"/>
      <c r="DR16" s="2">
        <v>13776.26</v>
      </c>
      <c r="DS16" s="3"/>
      <c r="DT16" s="2">
        <v>19231.59</v>
      </c>
      <c r="DU16" s="3"/>
      <c r="DV16" s="2">
        <v>18526.86</v>
      </c>
      <c r="DW16" s="3"/>
      <c r="DX16" s="2">
        <v>13506.94</v>
      </c>
      <c r="DY16" s="3"/>
      <c r="DZ16" s="2">
        <v>13923.18</v>
      </c>
      <c r="EA16" s="3"/>
      <c r="EB16" s="2">
        <v>23544.06</v>
      </c>
      <c r="EC16" s="3"/>
      <c r="ED16" s="2">
        <v>21127.78</v>
      </c>
      <c r="EE16" s="3"/>
      <c r="EF16" s="2">
        <v>18601.11</v>
      </c>
      <c r="EG16" s="3"/>
      <c r="EH16" s="2">
        <f t="shared" si="1"/>
        <v>1512866.38</v>
      </c>
    </row>
    <row r="17" spans="1:138" x14ac:dyDescent="0.45">
      <c r="A17" s="1"/>
      <c r="B17" s="1"/>
      <c r="C17" s="1"/>
      <c r="D17" s="1"/>
      <c r="E17" s="1" t="s">
        <v>82</v>
      </c>
      <c r="F17" s="2">
        <v>0</v>
      </c>
      <c r="G17" s="3"/>
      <c r="H17" s="2">
        <v>0</v>
      </c>
      <c r="I17" s="3"/>
      <c r="J17" s="2">
        <v>0</v>
      </c>
      <c r="K17" s="3"/>
      <c r="L17" s="2">
        <v>0</v>
      </c>
      <c r="M17" s="3"/>
      <c r="N17" s="2">
        <v>0</v>
      </c>
      <c r="O17" s="3"/>
      <c r="P17" s="2">
        <v>0</v>
      </c>
      <c r="Q17" s="3"/>
      <c r="R17" s="2">
        <v>0</v>
      </c>
      <c r="S17" s="3"/>
      <c r="T17" s="2">
        <v>0</v>
      </c>
      <c r="U17" s="3"/>
      <c r="V17" s="2">
        <v>-118.8</v>
      </c>
      <c r="W17" s="3"/>
      <c r="X17" s="2">
        <v>-142.56</v>
      </c>
      <c r="Y17" s="3"/>
      <c r="Z17" s="2">
        <v>0</v>
      </c>
      <c r="AA17" s="3"/>
      <c r="AB17" s="2">
        <v>261.36</v>
      </c>
      <c r="AC17" s="3"/>
      <c r="AD17" s="2">
        <v>0</v>
      </c>
      <c r="AE17" s="3"/>
      <c r="AF17" s="2">
        <v>0</v>
      </c>
      <c r="AG17" s="3"/>
      <c r="AH17" s="2">
        <v>0</v>
      </c>
      <c r="AI17" s="3"/>
      <c r="AJ17" s="2">
        <v>0</v>
      </c>
      <c r="AK17" s="3"/>
      <c r="AL17" s="2">
        <v>-328.62</v>
      </c>
      <c r="AM17" s="3"/>
      <c r="AN17" s="2">
        <v>4029.81</v>
      </c>
      <c r="AO17" s="3"/>
      <c r="AP17" s="2">
        <v>122.8</v>
      </c>
      <c r="AQ17" s="3"/>
      <c r="AR17" s="2">
        <v>490.53</v>
      </c>
      <c r="AS17" s="3"/>
      <c r="AT17" s="2">
        <v>106.35</v>
      </c>
      <c r="AU17" s="3"/>
      <c r="AV17" s="2">
        <v>-78.989999999999995</v>
      </c>
      <c r="AW17" s="3"/>
      <c r="AX17" s="2">
        <v>0</v>
      </c>
      <c r="AY17" s="3"/>
      <c r="AZ17" s="2">
        <v>0</v>
      </c>
      <c r="BA17" s="3"/>
      <c r="BB17" s="2">
        <v>0</v>
      </c>
      <c r="BC17" s="3"/>
      <c r="BD17" s="2">
        <v>0</v>
      </c>
      <c r="BE17" s="3"/>
      <c r="BF17" s="2">
        <v>-112.6</v>
      </c>
      <c r="BG17" s="3"/>
      <c r="BH17" s="2">
        <v>125</v>
      </c>
      <c r="BI17" s="3"/>
      <c r="BJ17" s="2">
        <v>0</v>
      </c>
      <c r="BK17" s="3"/>
      <c r="BL17" s="2">
        <v>1265.21</v>
      </c>
      <c r="BM17" s="3"/>
      <c r="BN17" s="2">
        <v>0</v>
      </c>
      <c r="BO17" s="3"/>
      <c r="BP17" s="2">
        <v>2380</v>
      </c>
      <c r="BQ17" s="3"/>
      <c r="BR17" s="2">
        <v>-118.8</v>
      </c>
      <c r="BS17" s="3"/>
      <c r="BT17" s="2">
        <v>125</v>
      </c>
      <c r="BU17" s="3"/>
      <c r="BV17" s="2">
        <v>0</v>
      </c>
      <c r="BW17" s="3"/>
      <c r="BX17" s="2">
        <v>0</v>
      </c>
      <c r="BY17" s="3"/>
      <c r="BZ17" s="2">
        <v>0</v>
      </c>
      <c r="CA17" s="3"/>
      <c r="CB17" s="2">
        <v>704.96</v>
      </c>
      <c r="CC17" s="3"/>
      <c r="CD17" s="2">
        <v>-213.84</v>
      </c>
      <c r="CE17" s="3"/>
      <c r="CF17" s="2">
        <v>0</v>
      </c>
      <c r="CG17" s="3"/>
      <c r="CH17" s="2">
        <v>150</v>
      </c>
      <c r="CI17" s="3"/>
      <c r="CJ17" s="2">
        <v>0</v>
      </c>
      <c r="CK17" s="3"/>
      <c r="CL17" s="2">
        <v>-213.84</v>
      </c>
      <c r="CM17" s="3"/>
      <c r="CN17" s="2">
        <v>213.84</v>
      </c>
      <c r="CO17" s="3"/>
      <c r="CP17" s="2">
        <v>0</v>
      </c>
      <c r="CQ17" s="3"/>
      <c r="CR17" s="2">
        <v>0</v>
      </c>
      <c r="CS17" s="3"/>
      <c r="CT17" s="2">
        <v>237.6</v>
      </c>
      <c r="CU17" s="3"/>
      <c r="CV17" s="2">
        <v>0</v>
      </c>
      <c r="CW17" s="3"/>
      <c r="CX17" s="2">
        <v>-118.8</v>
      </c>
      <c r="CY17" s="3"/>
      <c r="CZ17" s="2">
        <v>0</v>
      </c>
      <c r="DA17" s="3"/>
      <c r="DB17" s="2">
        <v>-906.73</v>
      </c>
      <c r="DC17" s="3"/>
      <c r="DD17" s="2">
        <v>118.8</v>
      </c>
      <c r="DE17" s="3"/>
      <c r="DF17" s="2">
        <v>-346.2</v>
      </c>
      <c r="DG17" s="3"/>
      <c r="DH17" s="2">
        <v>-118.8</v>
      </c>
      <c r="DI17" s="3"/>
      <c r="DJ17" s="2">
        <v>0</v>
      </c>
      <c r="DK17" s="3"/>
      <c r="DL17" s="2">
        <v>244.7</v>
      </c>
      <c r="DM17" s="3"/>
      <c r="DN17" s="2">
        <v>-244.7</v>
      </c>
      <c r="DO17" s="3"/>
      <c r="DP17" s="2">
        <v>0</v>
      </c>
      <c r="DQ17" s="3"/>
      <c r="DR17" s="2">
        <v>1371.73</v>
      </c>
      <c r="DS17" s="3"/>
      <c r="DT17" s="2">
        <v>0</v>
      </c>
      <c r="DU17" s="3"/>
      <c r="DV17" s="2">
        <v>0</v>
      </c>
      <c r="DW17" s="3"/>
      <c r="DX17" s="2">
        <v>-600</v>
      </c>
      <c r="DY17" s="3"/>
      <c r="DZ17" s="2">
        <v>0</v>
      </c>
      <c r="EA17" s="3"/>
      <c r="EB17" s="2">
        <v>0</v>
      </c>
      <c r="EC17" s="3"/>
      <c r="ED17" s="2">
        <v>-146.82</v>
      </c>
      <c r="EE17" s="3"/>
      <c r="EF17" s="2">
        <v>200</v>
      </c>
      <c r="EG17" s="3"/>
      <c r="EH17" s="2">
        <f t="shared" si="1"/>
        <v>8337.59</v>
      </c>
    </row>
    <row r="18" spans="1:138" x14ac:dyDescent="0.45">
      <c r="A18" s="1"/>
      <c r="B18" s="1"/>
      <c r="C18" s="1"/>
      <c r="D18" s="1"/>
      <c r="E18" s="1" t="s">
        <v>83</v>
      </c>
      <c r="F18" s="2">
        <v>980</v>
      </c>
      <c r="G18" s="3"/>
      <c r="H18" s="2">
        <v>0</v>
      </c>
      <c r="I18" s="3"/>
      <c r="J18" s="2">
        <v>-1300</v>
      </c>
      <c r="K18" s="3"/>
      <c r="L18" s="2">
        <v>0</v>
      </c>
      <c r="M18" s="3"/>
      <c r="N18" s="2">
        <v>0</v>
      </c>
      <c r="O18" s="3"/>
      <c r="P18" s="2">
        <v>-670</v>
      </c>
      <c r="Q18" s="3"/>
      <c r="R18" s="2">
        <v>0</v>
      </c>
      <c r="S18" s="3"/>
      <c r="T18" s="2">
        <v>0</v>
      </c>
      <c r="U18" s="3"/>
      <c r="V18" s="2">
        <v>0</v>
      </c>
      <c r="W18" s="3"/>
      <c r="X18" s="2">
        <v>0</v>
      </c>
      <c r="Y18" s="3"/>
      <c r="Z18" s="2">
        <v>5780</v>
      </c>
      <c r="AA18" s="3"/>
      <c r="AB18" s="2">
        <v>0</v>
      </c>
      <c r="AC18" s="3"/>
      <c r="AD18" s="2">
        <v>0</v>
      </c>
      <c r="AE18" s="3"/>
      <c r="AF18" s="2">
        <v>0</v>
      </c>
      <c r="AG18" s="3"/>
      <c r="AH18" s="2">
        <v>360</v>
      </c>
      <c r="AI18" s="3"/>
      <c r="AJ18" s="2">
        <v>-5124.3999999999996</v>
      </c>
      <c r="AK18" s="3"/>
      <c r="AL18" s="2">
        <v>0</v>
      </c>
      <c r="AM18" s="3"/>
      <c r="AN18" s="2">
        <v>150</v>
      </c>
      <c r="AO18" s="3"/>
      <c r="AP18" s="2">
        <v>164.5</v>
      </c>
      <c r="AQ18" s="3"/>
      <c r="AR18" s="2">
        <v>0</v>
      </c>
      <c r="AS18" s="3"/>
      <c r="AT18" s="2">
        <v>0</v>
      </c>
      <c r="AU18" s="3"/>
      <c r="AV18" s="2">
        <v>-725</v>
      </c>
      <c r="AW18" s="3"/>
      <c r="AX18" s="2">
        <v>-20</v>
      </c>
      <c r="AY18" s="3"/>
      <c r="AZ18" s="2">
        <v>7281.4</v>
      </c>
      <c r="BA18" s="3"/>
      <c r="BB18" s="2">
        <v>0</v>
      </c>
      <c r="BC18" s="3"/>
      <c r="BD18" s="2">
        <v>-1635</v>
      </c>
      <c r="BE18" s="3"/>
      <c r="BF18" s="2">
        <v>0</v>
      </c>
      <c r="BG18" s="3"/>
      <c r="BH18" s="2">
        <v>925.4</v>
      </c>
      <c r="BI18" s="3"/>
      <c r="BJ18" s="2">
        <v>0</v>
      </c>
      <c r="BK18" s="3"/>
      <c r="BL18" s="2">
        <v>-40</v>
      </c>
      <c r="BM18" s="3"/>
      <c r="BN18" s="2">
        <v>1615</v>
      </c>
      <c r="BO18" s="3"/>
      <c r="BP18" s="2">
        <v>0</v>
      </c>
      <c r="BQ18" s="3"/>
      <c r="BR18" s="2">
        <v>5250</v>
      </c>
      <c r="BS18" s="3"/>
      <c r="BT18" s="2">
        <v>-4</v>
      </c>
      <c r="BU18" s="3"/>
      <c r="BV18" s="2">
        <v>215</v>
      </c>
      <c r="BW18" s="3"/>
      <c r="BX18" s="2">
        <v>0</v>
      </c>
      <c r="BY18" s="3"/>
      <c r="BZ18" s="2">
        <v>125</v>
      </c>
      <c r="CA18" s="3"/>
      <c r="CB18" s="2">
        <v>9637</v>
      </c>
      <c r="CC18" s="3"/>
      <c r="CD18" s="2">
        <v>0</v>
      </c>
      <c r="CE18" s="3"/>
      <c r="CF18" s="2">
        <v>0</v>
      </c>
      <c r="CG18" s="3"/>
      <c r="CH18" s="2">
        <v>0</v>
      </c>
      <c r="CI18" s="3"/>
      <c r="CJ18" s="2">
        <v>320</v>
      </c>
      <c r="CK18" s="3"/>
      <c r="CL18" s="2">
        <v>-10</v>
      </c>
      <c r="CM18" s="3"/>
      <c r="CN18" s="2">
        <v>0</v>
      </c>
      <c r="CO18" s="3"/>
      <c r="CP18" s="2">
        <v>605</v>
      </c>
      <c r="CQ18" s="3"/>
      <c r="CR18" s="2">
        <v>-289.94</v>
      </c>
      <c r="CS18" s="3"/>
      <c r="CT18" s="2">
        <v>0</v>
      </c>
      <c r="CU18" s="3"/>
      <c r="CV18" s="2">
        <v>-798</v>
      </c>
      <c r="CW18" s="3"/>
      <c r="CX18" s="2">
        <v>629.79999999999995</v>
      </c>
      <c r="CY18" s="3"/>
      <c r="CZ18" s="2">
        <v>0</v>
      </c>
      <c r="DA18" s="3"/>
      <c r="DB18" s="2">
        <v>0</v>
      </c>
      <c r="DC18" s="3"/>
      <c r="DD18" s="2">
        <v>0</v>
      </c>
      <c r="DE18" s="3"/>
      <c r="DF18" s="2">
        <v>-2425</v>
      </c>
      <c r="DG18" s="3"/>
      <c r="DH18" s="2">
        <v>0</v>
      </c>
      <c r="DI18" s="3"/>
      <c r="DJ18" s="2">
        <v>0</v>
      </c>
      <c r="DK18" s="3"/>
      <c r="DL18" s="2">
        <v>510</v>
      </c>
      <c r="DM18" s="3"/>
      <c r="DN18" s="2">
        <v>0</v>
      </c>
      <c r="DO18" s="3"/>
      <c r="DP18" s="2">
        <v>100</v>
      </c>
      <c r="DQ18" s="3"/>
      <c r="DR18" s="2">
        <v>1185.2</v>
      </c>
      <c r="DS18" s="3"/>
      <c r="DT18" s="2">
        <v>0</v>
      </c>
      <c r="DU18" s="3"/>
      <c r="DV18" s="2">
        <v>0</v>
      </c>
      <c r="DW18" s="3"/>
      <c r="DX18" s="2">
        <v>2809.5</v>
      </c>
      <c r="DY18" s="3"/>
      <c r="DZ18" s="2">
        <v>0</v>
      </c>
      <c r="EA18" s="3"/>
      <c r="EB18" s="2">
        <v>-3490</v>
      </c>
      <c r="EC18" s="3"/>
      <c r="ED18" s="2">
        <v>0</v>
      </c>
      <c r="EE18" s="3"/>
      <c r="EF18" s="2">
        <v>0</v>
      </c>
      <c r="EG18" s="3"/>
      <c r="EH18" s="2">
        <f t="shared" si="1"/>
        <v>22111.46</v>
      </c>
    </row>
    <row r="19" spans="1:138" x14ac:dyDescent="0.45">
      <c r="A19" s="1"/>
      <c r="B19" s="1"/>
      <c r="C19" s="1"/>
      <c r="D19" s="1"/>
      <c r="E19" s="1" t="s">
        <v>84</v>
      </c>
      <c r="F19" s="2">
        <v>26163.9</v>
      </c>
      <c r="G19" s="3"/>
      <c r="H19" s="2">
        <v>27153.66</v>
      </c>
      <c r="I19" s="3"/>
      <c r="J19" s="2">
        <v>37642.68</v>
      </c>
      <c r="K19" s="3"/>
      <c r="L19" s="2">
        <v>13974</v>
      </c>
      <c r="M19" s="3"/>
      <c r="N19" s="2">
        <v>13624</v>
      </c>
      <c r="O19" s="3"/>
      <c r="P19" s="2">
        <v>17093.939999999999</v>
      </c>
      <c r="Q19" s="3"/>
      <c r="R19" s="2">
        <v>17426.63</v>
      </c>
      <c r="S19" s="3"/>
      <c r="T19" s="2">
        <v>17030</v>
      </c>
      <c r="U19" s="3"/>
      <c r="V19" s="2">
        <v>14994</v>
      </c>
      <c r="W19" s="3"/>
      <c r="X19" s="2">
        <v>13799</v>
      </c>
      <c r="Y19" s="3"/>
      <c r="Z19" s="2">
        <v>17030</v>
      </c>
      <c r="AA19" s="3"/>
      <c r="AB19" s="2">
        <v>13624</v>
      </c>
      <c r="AC19" s="3"/>
      <c r="AD19" s="2">
        <v>15014.35</v>
      </c>
      <c r="AE19" s="3"/>
      <c r="AF19" s="2">
        <v>14419.37</v>
      </c>
      <c r="AG19" s="3"/>
      <c r="AH19" s="2">
        <v>17848.97</v>
      </c>
      <c r="AI19" s="3"/>
      <c r="AJ19" s="2">
        <v>12325.92</v>
      </c>
      <c r="AK19" s="3"/>
      <c r="AL19" s="2">
        <v>36643.25</v>
      </c>
      <c r="AM19" s="3"/>
      <c r="AN19" s="2">
        <v>-73005.820000000007</v>
      </c>
      <c r="AO19" s="3"/>
      <c r="AP19" s="2">
        <v>27559.919999999998</v>
      </c>
      <c r="AQ19" s="3"/>
      <c r="AR19" s="2">
        <v>31377.360000000001</v>
      </c>
      <c r="AS19" s="3"/>
      <c r="AT19" s="2">
        <v>20802.330000000002</v>
      </c>
      <c r="AU19" s="3"/>
      <c r="AV19" s="2">
        <v>26937.52</v>
      </c>
      <c r="AW19" s="3"/>
      <c r="AX19" s="2">
        <v>27306.02</v>
      </c>
      <c r="AY19" s="3"/>
      <c r="AZ19" s="2">
        <v>38954.26</v>
      </c>
      <c r="BA19" s="3"/>
      <c r="BB19" s="2">
        <v>31079.7</v>
      </c>
      <c r="BC19" s="3"/>
      <c r="BD19" s="2">
        <v>23526.32</v>
      </c>
      <c r="BE19" s="3"/>
      <c r="BF19" s="2">
        <v>-8635.8799999999992</v>
      </c>
      <c r="BG19" s="3"/>
      <c r="BH19" s="2">
        <v>25569.58</v>
      </c>
      <c r="BI19" s="3"/>
      <c r="BJ19" s="2">
        <v>31083.8</v>
      </c>
      <c r="BK19" s="3"/>
      <c r="BL19" s="2">
        <v>-8620.4</v>
      </c>
      <c r="BM19" s="3"/>
      <c r="BN19" s="2">
        <v>39920.730000000003</v>
      </c>
      <c r="BO19" s="3"/>
      <c r="BP19" s="2">
        <v>32846.400000000001</v>
      </c>
      <c r="BQ19" s="3"/>
      <c r="BR19" s="2">
        <v>25605.22</v>
      </c>
      <c r="BS19" s="3"/>
      <c r="BT19" s="2">
        <v>34011</v>
      </c>
      <c r="BU19" s="3"/>
      <c r="BV19" s="2">
        <v>24652.87</v>
      </c>
      <c r="BW19" s="3"/>
      <c r="BX19" s="2">
        <v>-40813.160000000003</v>
      </c>
      <c r="BY19" s="3"/>
      <c r="BZ19" s="2">
        <v>30389.87</v>
      </c>
      <c r="CA19" s="3"/>
      <c r="CB19" s="2">
        <v>26648.36</v>
      </c>
      <c r="CC19" s="3"/>
      <c r="CD19" s="2">
        <v>26878.6</v>
      </c>
      <c r="CE19" s="3"/>
      <c r="CF19" s="2">
        <v>32261.05</v>
      </c>
      <c r="CG19" s="3"/>
      <c r="CH19" s="2">
        <v>27503.24</v>
      </c>
      <c r="CI19" s="3"/>
      <c r="CJ19" s="2">
        <v>27695.24</v>
      </c>
      <c r="CK19" s="3"/>
      <c r="CL19" s="2">
        <v>32978.550000000003</v>
      </c>
      <c r="CM19" s="3"/>
      <c r="CN19" s="2">
        <v>27245.24</v>
      </c>
      <c r="CO19" s="3"/>
      <c r="CP19" s="2">
        <v>26441.7</v>
      </c>
      <c r="CQ19" s="3"/>
      <c r="CR19" s="2">
        <v>31422.99</v>
      </c>
      <c r="CS19" s="3"/>
      <c r="CT19" s="2">
        <v>27397.24</v>
      </c>
      <c r="CU19" s="3"/>
      <c r="CV19" s="2">
        <v>-96475.42</v>
      </c>
      <c r="CW19" s="3"/>
      <c r="CX19" s="2">
        <v>25138</v>
      </c>
      <c r="CY19" s="3"/>
      <c r="CZ19" s="2">
        <v>28129.96</v>
      </c>
      <c r="DA19" s="3"/>
      <c r="DB19" s="2">
        <v>27152.73</v>
      </c>
      <c r="DC19" s="3"/>
      <c r="DD19" s="2">
        <v>59085.79</v>
      </c>
      <c r="DE19" s="3"/>
      <c r="DF19" s="2">
        <v>24141.38</v>
      </c>
      <c r="DG19" s="3"/>
      <c r="DH19" s="2">
        <v>18660.79</v>
      </c>
      <c r="DI19" s="3"/>
      <c r="DJ19" s="2">
        <v>18743.36</v>
      </c>
      <c r="DK19" s="3"/>
      <c r="DL19" s="2">
        <v>15652.72</v>
      </c>
      <c r="DM19" s="3"/>
      <c r="DN19" s="2">
        <v>19578.580000000002</v>
      </c>
      <c r="DO19" s="3"/>
      <c r="DP19" s="2">
        <v>15320.4</v>
      </c>
      <c r="DQ19" s="3"/>
      <c r="DR19" s="2">
        <v>27531.51</v>
      </c>
      <c r="DS19" s="3"/>
      <c r="DT19" s="2">
        <v>-57025.64</v>
      </c>
      <c r="DU19" s="3"/>
      <c r="DV19" s="2">
        <v>27113.71</v>
      </c>
      <c r="DW19" s="3"/>
      <c r="DX19" s="2">
        <v>17837.36</v>
      </c>
      <c r="DY19" s="3"/>
      <c r="DZ19" s="2">
        <v>18826.16</v>
      </c>
      <c r="EA19" s="3"/>
      <c r="EB19" s="2">
        <v>15857.15</v>
      </c>
      <c r="EC19" s="3"/>
      <c r="ED19" s="2">
        <v>16430</v>
      </c>
      <c r="EE19" s="3"/>
      <c r="EF19" s="2">
        <v>20442.96</v>
      </c>
      <c r="EG19" s="3"/>
      <c r="EH19" s="2">
        <f t="shared" si="1"/>
        <v>1194969.02</v>
      </c>
    </row>
    <row r="20" spans="1:138" x14ac:dyDescent="0.45">
      <c r="A20" s="1"/>
      <c r="B20" s="1"/>
      <c r="C20" s="1"/>
      <c r="D20" s="1"/>
      <c r="E20" s="1" t="s">
        <v>85</v>
      </c>
      <c r="F20" s="2">
        <v>193.08</v>
      </c>
      <c r="G20" s="3"/>
      <c r="H20" s="2">
        <v>87.5</v>
      </c>
      <c r="I20" s="3"/>
      <c r="J20" s="2">
        <v>98.75</v>
      </c>
      <c r="K20" s="3"/>
      <c r="L20" s="2">
        <v>228.46</v>
      </c>
      <c r="M20" s="3"/>
      <c r="N20" s="2">
        <v>646.02</v>
      </c>
      <c r="O20" s="3"/>
      <c r="P20" s="2">
        <v>1216.0999999999999</v>
      </c>
      <c r="Q20" s="3"/>
      <c r="R20" s="2">
        <v>375.92</v>
      </c>
      <c r="S20" s="3"/>
      <c r="T20" s="2">
        <v>278.83999999999997</v>
      </c>
      <c r="U20" s="3"/>
      <c r="V20" s="2">
        <v>91.04</v>
      </c>
      <c r="W20" s="3"/>
      <c r="X20" s="2">
        <v>150.68</v>
      </c>
      <c r="Y20" s="3"/>
      <c r="Z20" s="2">
        <v>115</v>
      </c>
      <c r="AA20" s="3"/>
      <c r="AB20" s="2">
        <v>238.73</v>
      </c>
      <c r="AC20" s="3"/>
      <c r="AD20" s="2">
        <v>169.98</v>
      </c>
      <c r="AE20" s="3"/>
      <c r="AF20" s="2">
        <v>42.1</v>
      </c>
      <c r="AG20" s="3"/>
      <c r="AH20" s="2">
        <v>722.02</v>
      </c>
      <c r="AI20" s="3"/>
      <c r="AJ20" s="2">
        <v>188.4</v>
      </c>
      <c r="AK20" s="3"/>
      <c r="AL20" s="2">
        <v>438.98</v>
      </c>
      <c r="AM20" s="3"/>
      <c r="AN20" s="2">
        <v>779.18</v>
      </c>
      <c r="AO20" s="3"/>
      <c r="AP20" s="2">
        <v>62.5</v>
      </c>
      <c r="AQ20" s="3"/>
      <c r="AR20" s="2">
        <v>559.67999999999995</v>
      </c>
      <c r="AS20" s="3"/>
      <c r="AT20" s="2">
        <v>525.48</v>
      </c>
      <c r="AU20" s="3"/>
      <c r="AV20" s="2">
        <v>205.01</v>
      </c>
      <c r="AW20" s="3"/>
      <c r="AX20" s="2">
        <v>0</v>
      </c>
      <c r="AY20" s="3"/>
      <c r="AZ20" s="2">
        <v>242.14</v>
      </c>
      <c r="BA20" s="3"/>
      <c r="BB20" s="2">
        <v>212.5</v>
      </c>
      <c r="BC20" s="3"/>
      <c r="BD20" s="2">
        <v>246.67</v>
      </c>
      <c r="BE20" s="3"/>
      <c r="BF20" s="2">
        <v>223.52</v>
      </c>
      <c r="BG20" s="3"/>
      <c r="BH20" s="2">
        <v>218.09</v>
      </c>
      <c r="BI20" s="3"/>
      <c r="BJ20" s="2">
        <v>243.36</v>
      </c>
      <c r="BK20" s="3"/>
      <c r="BL20" s="2">
        <v>704.94</v>
      </c>
      <c r="BM20" s="3"/>
      <c r="BN20" s="2">
        <v>58</v>
      </c>
      <c r="BO20" s="3"/>
      <c r="BP20" s="2">
        <v>135.94999999999999</v>
      </c>
      <c r="BQ20" s="3"/>
      <c r="BR20" s="2">
        <v>266.61</v>
      </c>
      <c r="BS20" s="3"/>
      <c r="BT20" s="2">
        <v>34.14</v>
      </c>
      <c r="BU20" s="3"/>
      <c r="BV20" s="2">
        <v>679.49</v>
      </c>
      <c r="BW20" s="3"/>
      <c r="BX20" s="2">
        <v>226.81</v>
      </c>
      <c r="BY20" s="3"/>
      <c r="BZ20" s="2">
        <v>116.19</v>
      </c>
      <c r="CA20" s="3"/>
      <c r="CB20" s="2">
        <v>0</v>
      </c>
      <c r="CC20" s="3"/>
      <c r="CD20" s="2">
        <v>80.400000000000006</v>
      </c>
      <c r="CE20" s="3"/>
      <c r="CF20" s="2">
        <v>0</v>
      </c>
      <c r="CG20" s="3"/>
      <c r="CH20" s="2">
        <v>166.96</v>
      </c>
      <c r="CI20" s="3"/>
      <c r="CJ20" s="2">
        <v>0</v>
      </c>
      <c r="CK20" s="3"/>
      <c r="CL20" s="2">
        <v>111.35</v>
      </c>
      <c r="CM20" s="3"/>
      <c r="CN20" s="2">
        <v>115.7</v>
      </c>
      <c r="CO20" s="3"/>
      <c r="CP20" s="2">
        <v>0</v>
      </c>
      <c r="CQ20" s="3"/>
      <c r="CR20" s="2">
        <v>0</v>
      </c>
      <c r="CS20" s="3"/>
      <c r="CT20" s="2">
        <v>0</v>
      </c>
      <c r="CU20" s="3"/>
      <c r="CV20" s="2">
        <v>0</v>
      </c>
      <c r="CW20" s="3"/>
      <c r="CX20" s="2">
        <v>748.3</v>
      </c>
      <c r="CY20" s="3"/>
      <c r="CZ20" s="2">
        <v>453.26</v>
      </c>
      <c r="DA20" s="3"/>
      <c r="DB20" s="2">
        <v>659.18</v>
      </c>
      <c r="DC20" s="3"/>
      <c r="DD20" s="2">
        <v>479.45</v>
      </c>
      <c r="DE20" s="3"/>
      <c r="DF20" s="2">
        <v>50</v>
      </c>
      <c r="DG20" s="3"/>
      <c r="DH20" s="2">
        <v>1082.46</v>
      </c>
      <c r="DI20" s="3"/>
      <c r="DJ20" s="2">
        <v>387.95</v>
      </c>
      <c r="DK20" s="3"/>
      <c r="DL20" s="2">
        <v>163.61000000000001</v>
      </c>
      <c r="DM20" s="3"/>
      <c r="DN20" s="2">
        <v>555.85</v>
      </c>
      <c r="DO20" s="3"/>
      <c r="DP20" s="2">
        <v>223.68</v>
      </c>
      <c r="DQ20" s="3"/>
      <c r="DR20" s="2">
        <v>182.84</v>
      </c>
      <c r="DS20" s="3"/>
      <c r="DT20" s="2">
        <v>119</v>
      </c>
      <c r="DU20" s="3"/>
      <c r="DV20" s="2">
        <v>134.08000000000001</v>
      </c>
      <c r="DW20" s="3"/>
      <c r="DX20" s="2">
        <v>263.06</v>
      </c>
      <c r="DY20" s="3"/>
      <c r="DZ20" s="2">
        <v>612.65</v>
      </c>
      <c r="EA20" s="3"/>
      <c r="EB20" s="2">
        <v>410.98</v>
      </c>
      <c r="EC20" s="3"/>
      <c r="ED20" s="2">
        <v>892.97</v>
      </c>
      <c r="EE20" s="3"/>
      <c r="EF20" s="2">
        <v>2126.0500000000002</v>
      </c>
      <c r="EG20" s="3"/>
      <c r="EH20" s="2">
        <f t="shared" si="1"/>
        <v>21041.64</v>
      </c>
    </row>
    <row r="21" spans="1:138" x14ac:dyDescent="0.45">
      <c r="A21" s="1"/>
      <c r="B21" s="1"/>
      <c r="C21" s="1"/>
      <c r="D21" s="1"/>
      <c r="E21" s="1" t="s">
        <v>86</v>
      </c>
      <c r="F21" s="2">
        <v>0</v>
      </c>
      <c r="G21" s="3"/>
      <c r="H21" s="2">
        <v>0</v>
      </c>
      <c r="I21" s="3"/>
      <c r="J21" s="2">
        <v>1473.75</v>
      </c>
      <c r="K21" s="3"/>
      <c r="L21" s="2">
        <v>0</v>
      </c>
      <c r="M21" s="3"/>
      <c r="N21" s="2">
        <v>0</v>
      </c>
      <c r="O21" s="3"/>
      <c r="P21" s="2">
        <v>1473.75</v>
      </c>
      <c r="Q21" s="3"/>
      <c r="R21" s="2">
        <v>0</v>
      </c>
      <c r="S21" s="3"/>
      <c r="T21" s="2">
        <v>0</v>
      </c>
      <c r="U21" s="3"/>
      <c r="V21" s="2">
        <v>1473.75</v>
      </c>
      <c r="W21" s="3"/>
      <c r="X21" s="2">
        <v>0</v>
      </c>
      <c r="Y21" s="3"/>
      <c r="Z21" s="2">
        <v>0</v>
      </c>
      <c r="AA21" s="3"/>
      <c r="AB21" s="2">
        <v>1473.75</v>
      </c>
      <c r="AC21" s="3"/>
      <c r="AD21" s="2">
        <v>624.58000000000004</v>
      </c>
      <c r="AE21" s="3"/>
      <c r="AF21" s="2">
        <v>624.58000000000004</v>
      </c>
      <c r="AG21" s="3"/>
      <c r="AH21" s="2">
        <v>624.58000000000004</v>
      </c>
      <c r="AI21" s="3"/>
      <c r="AJ21" s="2">
        <v>624.58000000000004</v>
      </c>
      <c r="AK21" s="3"/>
      <c r="AL21" s="2">
        <v>624.58000000000004</v>
      </c>
      <c r="AM21" s="3"/>
      <c r="AN21" s="2">
        <v>624.58000000000004</v>
      </c>
      <c r="AO21" s="3"/>
      <c r="AP21" s="2">
        <v>624.58000000000004</v>
      </c>
      <c r="AQ21" s="3"/>
      <c r="AR21" s="2">
        <v>0</v>
      </c>
      <c r="AS21" s="3"/>
      <c r="AT21" s="2">
        <v>624.58000000000004</v>
      </c>
      <c r="AU21" s="3"/>
      <c r="AV21" s="2">
        <v>624.58000000000004</v>
      </c>
      <c r="AW21" s="3"/>
      <c r="AX21" s="2">
        <v>624.58000000000004</v>
      </c>
      <c r="AY21" s="3"/>
      <c r="AZ21" s="2">
        <v>8273.7800000000007</v>
      </c>
      <c r="BA21" s="3"/>
      <c r="BB21" s="2">
        <v>491.25</v>
      </c>
      <c r="BC21" s="3"/>
      <c r="BD21" s="2">
        <v>491.25</v>
      </c>
      <c r="BE21" s="3"/>
      <c r="BF21" s="2">
        <v>491.25</v>
      </c>
      <c r="BG21" s="3"/>
      <c r="BH21" s="2">
        <v>491.25</v>
      </c>
      <c r="BI21" s="3"/>
      <c r="BJ21" s="2">
        <v>491.25</v>
      </c>
      <c r="BK21" s="3"/>
      <c r="BL21" s="2">
        <v>491.25</v>
      </c>
      <c r="BM21" s="3"/>
      <c r="BN21" s="2">
        <v>491.25</v>
      </c>
      <c r="BO21" s="3"/>
      <c r="BP21" s="2">
        <v>491.25</v>
      </c>
      <c r="BQ21" s="3"/>
      <c r="BR21" s="2">
        <v>491.25</v>
      </c>
      <c r="BS21" s="3"/>
      <c r="BT21" s="2">
        <v>491.25</v>
      </c>
      <c r="BU21" s="3"/>
      <c r="BV21" s="2">
        <v>0</v>
      </c>
      <c r="BW21" s="3"/>
      <c r="BX21" s="2">
        <v>7832.5</v>
      </c>
      <c r="BY21" s="3"/>
      <c r="BZ21" s="2">
        <v>0</v>
      </c>
      <c r="CA21" s="3"/>
      <c r="CB21" s="2">
        <v>0</v>
      </c>
      <c r="CC21" s="3"/>
      <c r="CD21" s="2">
        <v>0</v>
      </c>
      <c r="CE21" s="3"/>
      <c r="CF21" s="2">
        <v>0</v>
      </c>
      <c r="CG21" s="3"/>
      <c r="CH21" s="2">
        <v>0</v>
      </c>
      <c r="CI21" s="3"/>
      <c r="CJ21" s="2">
        <v>0</v>
      </c>
      <c r="CK21" s="3"/>
      <c r="CL21" s="2">
        <v>0</v>
      </c>
      <c r="CM21" s="3"/>
      <c r="CN21" s="2">
        <v>0</v>
      </c>
      <c r="CO21" s="3"/>
      <c r="CP21" s="2">
        <v>0</v>
      </c>
      <c r="CQ21" s="3"/>
      <c r="CR21" s="2">
        <v>0</v>
      </c>
      <c r="CS21" s="3"/>
      <c r="CT21" s="2">
        <v>0</v>
      </c>
      <c r="CU21" s="3"/>
      <c r="CV21" s="2">
        <v>0</v>
      </c>
      <c r="CW21" s="3"/>
      <c r="CX21" s="2">
        <v>0</v>
      </c>
      <c r="CY21" s="3"/>
      <c r="CZ21" s="2">
        <v>0</v>
      </c>
      <c r="DA21" s="3"/>
      <c r="DB21" s="2">
        <v>0</v>
      </c>
      <c r="DC21" s="3"/>
      <c r="DD21" s="2">
        <v>0</v>
      </c>
      <c r="DE21" s="3"/>
      <c r="DF21" s="2">
        <v>0</v>
      </c>
      <c r="DG21" s="3"/>
      <c r="DH21" s="2">
        <v>0</v>
      </c>
      <c r="DI21" s="3"/>
      <c r="DJ21" s="2">
        <v>0</v>
      </c>
      <c r="DK21" s="3"/>
      <c r="DL21" s="2">
        <v>0</v>
      </c>
      <c r="DM21" s="3"/>
      <c r="DN21" s="2">
        <v>0</v>
      </c>
      <c r="DO21" s="3"/>
      <c r="DP21" s="2">
        <v>0</v>
      </c>
      <c r="DQ21" s="3"/>
      <c r="DR21" s="2">
        <v>0</v>
      </c>
      <c r="DS21" s="3"/>
      <c r="DT21" s="2">
        <v>5895</v>
      </c>
      <c r="DU21" s="3"/>
      <c r="DV21" s="2">
        <v>0</v>
      </c>
      <c r="DW21" s="3"/>
      <c r="DX21" s="2">
        <v>0</v>
      </c>
      <c r="DY21" s="3"/>
      <c r="DZ21" s="2">
        <v>0</v>
      </c>
      <c r="EA21" s="3"/>
      <c r="EB21" s="2">
        <v>0</v>
      </c>
      <c r="EC21" s="3"/>
      <c r="ED21" s="2">
        <v>0</v>
      </c>
      <c r="EE21" s="3"/>
      <c r="EF21" s="2">
        <v>0</v>
      </c>
      <c r="EG21" s="3"/>
      <c r="EH21" s="2">
        <f t="shared" si="1"/>
        <v>39054.58</v>
      </c>
    </row>
    <row r="22" spans="1:138" x14ac:dyDescent="0.45">
      <c r="A22" s="1"/>
      <c r="B22" s="1"/>
      <c r="C22" s="1"/>
      <c r="D22" s="1"/>
      <c r="E22" s="1" t="s">
        <v>87</v>
      </c>
      <c r="F22" s="2">
        <v>728</v>
      </c>
      <c r="G22" s="3"/>
      <c r="H22" s="2">
        <v>548.99</v>
      </c>
      <c r="I22" s="3"/>
      <c r="J22" s="2">
        <v>84.83</v>
      </c>
      <c r="K22" s="3"/>
      <c r="L22" s="2">
        <v>2081.69</v>
      </c>
      <c r="M22" s="3"/>
      <c r="N22" s="2">
        <v>378.92</v>
      </c>
      <c r="O22" s="3"/>
      <c r="P22" s="2">
        <v>962.52</v>
      </c>
      <c r="Q22" s="3"/>
      <c r="R22" s="2">
        <v>299.45</v>
      </c>
      <c r="S22" s="3"/>
      <c r="T22" s="2">
        <v>943.85</v>
      </c>
      <c r="U22" s="3"/>
      <c r="V22" s="2">
        <v>1520.74</v>
      </c>
      <c r="W22" s="3"/>
      <c r="X22" s="2">
        <v>-534.95000000000005</v>
      </c>
      <c r="Y22" s="3"/>
      <c r="Z22" s="2">
        <v>304.77</v>
      </c>
      <c r="AA22" s="3"/>
      <c r="AB22" s="2">
        <v>-4143.09</v>
      </c>
      <c r="AC22" s="3"/>
      <c r="AD22" s="2">
        <v>856.23</v>
      </c>
      <c r="AE22" s="3"/>
      <c r="AF22" s="2">
        <v>591.29999999999995</v>
      </c>
      <c r="AG22" s="3"/>
      <c r="AH22" s="2">
        <v>1404.82</v>
      </c>
      <c r="AI22" s="3"/>
      <c r="AJ22" s="2">
        <v>1948.94</v>
      </c>
      <c r="AK22" s="3"/>
      <c r="AL22" s="2">
        <v>73.849999999999994</v>
      </c>
      <c r="AM22" s="3"/>
      <c r="AN22" s="2">
        <v>350</v>
      </c>
      <c r="AO22" s="3"/>
      <c r="AP22" s="2">
        <v>152.63999999999999</v>
      </c>
      <c r="AQ22" s="3"/>
      <c r="AR22" s="2">
        <v>775.86</v>
      </c>
      <c r="AS22" s="3"/>
      <c r="AT22" s="2">
        <v>0</v>
      </c>
      <c r="AU22" s="3"/>
      <c r="AV22" s="2">
        <v>49.26</v>
      </c>
      <c r="AW22" s="3"/>
      <c r="AX22" s="2">
        <v>138.36000000000001</v>
      </c>
      <c r="AY22" s="3"/>
      <c r="AZ22" s="2">
        <v>3</v>
      </c>
      <c r="BA22" s="3"/>
      <c r="BB22" s="2">
        <v>31.59</v>
      </c>
      <c r="BC22" s="3"/>
      <c r="BD22" s="2">
        <v>528.38</v>
      </c>
      <c r="BE22" s="3"/>
      <c r="BF22" s="2">
        <v>151.13</v>
      </c>
      <c r="BG22" s="3"/>
      <c r="BH22" s="2">
        <v>-136.41</v>
      </c>
      <c r="BI22" s="3"/>
      <c r="BJ22" s="2">
        <v>676.75</v>
      </c>
      <c r="BK22" s="3"/>
      <c r="BL22" s="2">
        <v>-78.540000000000006</v>
      </c>
      <c r="BM22" s="3"/>
      <c r="BN22" s="2">
        <v>-261.07</v>
      </c>
      <c r="BO22" s="3"/>
      <c r="BP22" s="2">
        <v>158.38</v>
      </c>
      <c r="BQ22" s="3"/>
      <c r="BR22" s="2">
        <v>20.56</v>
      </c>
      <c r="BS22" s="3"/>
      <c r="BT22" s="2">
        <v>-748.43</v>
      </c>
      <c r="BU22" s="3"/>
      <c r="BV22" s="2">
        <v>23.62</v>
      </c>
      <c r="BW22" s="3"/>
      <c r="BX22" s="2">
        <v>47.71</v>
      </c>
      <c r="BY22" s="3"/>
      <c r="BZ22" s="2">
        <v>19.14</v>
      </c>
      <c r="CA22" s="3"/>
      <c r="CB22" s="2">
        <v>8.6300000000000008</v>
      </c>
      <c r="CC22" s="3"/>
      <c r="CD22" s="2">
        <v>281.94</v>
      </c>
      <c r="CE22" s="3"/>
      <c r="CF22" s="2">
        <v>23.62</v>
      </c>
      <c r="CG22" s="3"/>
      <c r="CH22" s="2">
        <v>8.8699999999999992</v>
      </c>
      <c r="CI22" s="3"/>
      <c r="CJ22" s="2">
        <v>204.76</v>
      </c>
      <c r="CK22" s="3"/>
      <c r="CL22" s="2">
        <v>-1126.55</v>
      </c>
      <c r="CM22" s="3"/>
      <c r="CN22" s="2">
        <v>-367.37</v>
      </c>
      <c r="CO22" s="3"/>
      <c r="CP22" s="2">
        <v>-201.23</v>
      </c>
      <c r="CQ22" s="3"/>
      <c r="CR22" s="2">
        <v>39</v>
      </c>
      <c r="CS22" s="3"/>
      <c r="CT22" s="2">
        <v>19.5</v>
      </c>
      <c r="CU22" s="3"/>
      <c r="CV22" s="2">
        <v>91.01</v>
      </c>
      <c r="CW22" s="3"/>
      <c r="CX22" s="2">
        <v>38.46</v>
      </c>
      <c r="CY22" s="3"/>
      <c r="CZ22" s="2">
        <v>199.75</v>
      </c>
      <c r="DA22" s="3"/>
      <c r="DB22" s="2">
        <v>28.62</v>
      </c>
      <c r="DC22" s="3"/>
      <c r="DD22" s="2">
        <v>-51.89</v>
      </c>
      <c r="DE22" s="3"/>
      <c r="DF22" s="2">
        <v>100.56</v>
      </c>
      <c r="DG22" s="3"/>
      <c r="DH22" s="2">
        <v>-1617</v>
      </c>
      <c r="DI22" s="3"/>
      <c r="DJ22" s="2">
        <v>55.29</v>
      </c>
      <c r="DK22" s="3"/>
      <c r="DL22" s="2">
        <v>639.39</v>
      </c>
      <c r="DM22" s="3"/>
      <c r="DN22" s="2">
        <v>54.64</v>
      </c>
      <c r="DO22" s="3"/>
      <c r="DP22" s="2">
        <v>216.32</v>
      </c>
      <c r="DQ22" s="3"/>
      <c r="DR22" s="2">
        <v>63.4</v>
      </c>
      <c r="DS22" s="3"/>
      <c r="DT22" s="2">
        <v>94.63</v>
      </c>
      <c r="DU22" s="3"/>
      <c r="DV22" s="2">
        <v>62.63</v>
      </c>
      <c r="DW22" s="3"/>
      <c r="DX22" s="2">
        <v>76.95</v>
      </c>
      <c r="DY22" s="3"/>
      <c r="DZ22" s="2">
        <v>73.17</v>
      </c>
      <c r="EA22" s="3"/>
      <c r="EB22" s="2">
        <v>478.6</v>
      </c>
      <c r="EC22" s="3"/>
      <c r="ED22" s="2">
        <v>115.34</v>
      </c>
      <c r="EE22" s="3"/>
      <c r="EF22" s="2">
        <v>161.37</v>
      </c>
      <c r="EG22" s="3"/>
      <c r="EH22" s="2">
        <f t="shared" si="1"/>
        <v>9725.2000000000007</v>
      </c>
    </row>
    <row r="23" spans="1:138" x14ac:dyDescent="0.45">
      <c r="A23" s="1"/>
      <c r="B23" s="1"/>
      <c r="C23" s="1"/>
      <c r="D23" s="1"/>
      <c r="E23" s="1" t="s">
        <v>88</v>
      </c>
      <c r="F23" s="2">
        <v>-972.83</v>
      </c>
      <c r="G23" s="3"/>
      <c r="H23" s="2">
        <v>843.27</v>
      </c>
      <c r="I23" s="3"/>
      <c r="J23" s="2">
        <v>-4065.36</v>
      </c>
      <c r="K23" s="3"/>
      <c r="L23" s="2">
        <v>8767.23</v>
      </c>
      <c r="M23" s="3"/>
      <c r="N23" s="2">
        <v>12928.38</v>
      </c>
      <c r="O23" s="3"/>
      <c r="P23" s="2">
        <v>21712.31</v>
      </c>
      <c r="Q23" s="3"/>
      <c r="R23" s="2">
        <v>8117.27</v>
      </c>
      <c r="S23" s="3"/>
      <c r="T23" s="2">
        <v>14556.46</v>
      </c>
      <c r="U23" s="3"/>
      <c r="V23" s="2">
        <v>14649.46</v>
      </c>
      <c r="W23" s="3"/>
      <c r="X23" s="2">
        <v>8351.0300000000007</v>
      </c>
      <c r="Y23" s="3"/>
      <c r="Z23" s="2">
        <v>9374.31</v>
      </c>
      <c r="AA23" s="3"/>
      <c r="AB23" s="2">
        <v>9445.77</v>
      </c>
      <c r="AC23" s="3"/>
      <c r="AD23" s="2">
        <v>6512.62</v>
      </c>
      <c r="AE23" s="3"/>
      <c r="AF23" s="2">
        <v>10699.73</v>
      </c>
      <c r="AG23" s="3"/>
      <c r="AH23" s="2">
        <v>26093.59</v>
      </c>
      <c r="AI23" s="3"/>
      <c r="AJ23" s="2">
        <v>-1639.29</v>
      </c>
      <c r="AK23" s="3"/>
      <c r="AL23" s="2">
        <v>-2705.98</v>
      </c>
      <c r="AM23" s="3"/>
      <c r="AN23" s="2">
        <v>6789.74</v>
      </c>
      <c r="AO23" s="3"/>
      <c r="AP23" s="2">
        <v>11585.13</v>
      </c>
      <c r="AQ23" s="3"/>
      <c r="AR23" s="2">
        <v>19645.580000000002</v>
      </c>
      <c r="AS23" s="3"/>
      <c r="AT23" s="2">
        <v>8161.01</v>
      </c>
      <c r="AU23" s="3"/>
      <c r="AV23" s="2">
        <v>10830.1</v>
      </c>
      <c r="AW23" s="3"/>
      <c r="AX23" s="2">
        <v>12747.02</v>
      </c>
      <c r="AY23" s="3"/>
      <c r="AZ23" s="2">
        <v>10173.81</v>
      </c>
      <c r="BA23" s="3"/>
      <c r="BB23" s="2">
        <v>13704.38</v>
      </c>
      <c r="BC23" s="3"/>
      <c r="BD23" s="2">
        <v>9207.34</v>
      </c>
      <c r="BE23" s="3"/>
      <c r="BF23" s="2">
        <v>11759.83</v>
      </c>
      <c r="BG23" s="3"/>
      <c r="BH23" s="2">
        <v>12977.15</v>
      </c>
      <c r="BI23" s="3"/>
      <c r="BJ23" s="2">
        <v>12371.62</v>
      </c>
      <c r="BK23" s="3"/>
      <c r="BL23" s="2">
        <v>9588.83</v>
      </c>
      <c r="BM23" s="3"/>
      <c r="BN23" s="2">
        <v>10386.870000000001</v>
      </c>
      <c r="BO23" s="3"/>
      <c r="BP23" s="2">
        <v>7248.26</v>
      </c>
      <c r="BQ23" s="3"/>
      <c r="BR23" s="2">
        <v>6631.5</v>
      </c>
      <c r="BS23" s="3"/>
      <c r="BT23" s="2">
        <v>10647.99</v>
      </c>
      <c r="BU23" s="3"/>
      <c r="BV23" s="2">
        <v>4760.22</v>
      </c>
      <c r="BW23" s="3"/>
      <c r="BX23" s="2">
        <v>4854.95</v>
      </c>
      <c r="BY23" s="3"/>
      <c r="BZ23" s="2">
        <v>8151.7</v>
      </c>
      <c r="CA23" s="3"/>
      <c r="CB23" s="2">
        <v>8055.57</v>
      </c>
      <c r="CC23" s="3"/>
      <c r="CD23" s="2">
        <v>9273.65</v>
      </c>
      <c r="CE23" s="3"/>
      <c r="CF23" s="2">
        <v>7252.37</v>
      </c>
      <c r="CG23" s="3"/>
      <c r="CH23" s="2">
        <v>8387.02</v>
      </c>
      <c r="CI23" s="3"/>
      <c r="CJ23" s="2">
        <v>5682.98</v>
      </c>
      <c r="CK23" s="3"/>
      <c r="CL23" s="2">
        <v>8713.2199999999993</v>
      </c>
      <c r="CM23" s="3"/>
      <c r="CN23" s="2">
        <v>10830.46</v>
      </c>
      <c r="CO23" s="3"/>
      <c r="CP23" s="2">
        <v>10932.92</v>
      </c>
      <c r="CQ23" s="3"/>
      <c r="CR23" s="2">
        <v>5632.8</v>
      </c>
      <c r="CS23" s="3"/>
      <c r="CT23" s="2">
        <v>7588.55</v>
      </c>
      <c r="CU23" s="3"/>
      <c r="CV23" s="2">
        <v>6291.92</v>
      </c>
      <c r="CW23" s="3"/>
      <c r="CX23" s="2">
        <v>3630.91</v>
      </c>
      <c r="CY23" s="3"/>
      <c r="CZ23" s="2">
        <v>4483.45</v>
      </c>
      <c r="DA23" s="3"/>
      <c r="DB23" s="2">
        <v>8672.76</v>
      </c>
      <c r="DC23" s="3"/>
      <c r="DD23" s="2">
        <v>9418.18</v>
      </c>
      <c r="DE23" s="3"/>
      <c r="DF23" s="2">
        <v>13084.51</v>
      </c>
      <c r="DG23" s="3"/>
      <c r="DH23" s="2">
        <v>11094.44</v>
      </c>
      <c r="DI23" s="3"/>
      <c r="DJ23" s="2">
        <v>9635.8799999999992</v>
      </c>
      <c r="DK23" s="3"/>
      <c r="DL23" s="2">
        <v>9446.11</v>
      </c>
      <c r="DM23" s="3"/>
      <c r="DN23" s="2">
        <v>13270.82</v>
      </c>
      <c r="DO23" s="3"/>
      <c r="DP23" s="2">
        <v>5617.61</v>
      </c>
      <c r="DQ23" s="3"/>
      <c r="DR23" s="2">
        <v>6555.22</v>
      </c>
      <c r="DS23" s="3"/>
      <c r="DT23" s="2">
        <v>8444.85</v>
      </c>
      <c r="DU23" s="3"/>
      <c r="DV23" s="2">
        <v>6229.69</v>
      </c>
      <c r="DW23" s="3"/>
      <c r="DX23" s="2">
        <v>10090.76</v>
      </c>
      <c r="DY23" s="3"/>
      <c r="DZ23" s="2">
        <v>7870.1</v>
      </c>
      <c r="EA23" s="3"/>
      <c r="EB23" s="2">
        <v>6808.69</v>
      </c>
      <c r="EC23" s="3"/>
      <c r="ED23" s="2">
        <v>13629.5</v>
      </c>
      <c r="EE23" s="3"/>
      <c r="EF23" s="2">
        <v>11303.88</v>
      </c>
      <c r="EG23" s="3"/>
      <c r="EH23" s="2">
        <f t="shared" si="1"/>
        <v>592819.81999999995</v>
      </c>
    </row>
    <row r="24" spans="1:138" x14ac:dyDescent="0.45">
      <c r="A24" s="1"/>
      <c r="B24" s="1"/>
      <c r="C24" s="1"/>
      <c r="D24" s="1"/>
      <c r="E24" s="1" t="s">
        <v>89</v>
      </c>
      <c r="F24" s="2">
        <v>0</v>
      </c>
      <c r="G24" s="3"/>
      <c r="H24" s="2">
        <v>0</v>
      </c>
      <c r="I24" s="3"/>
      <c r="J24" s="2">
        <v>0</v>
      </c>
      <c r="K24" s="3"/>
      <c r="L24" s="2">
        <v>0</v>
      </c>
      <c r="M24" s="3"/>
      <c r="N24" s="2">
        <v>0</v>
      </c>
      <c r="O24" s="3"/>
      <c r="P24" s="2">
        <v>0</v>
      </c>
      <c r="Q24" s="3"/>
      <c r="R24" s="2">
        <v>0</v>
      </c>
      <c r="S24" s="3"/>
      <c r="T24" s="2">
        <v>0</v>
      </c>
      <c r="U24" s="3"/>
      <c r="V24" s="2">
        <v>0</v>
      </c>
      <c r="W24" s="3"/>
      <c r="X24" s="2">
        <v>0</v>
      </c>
      <c r="Y24" s="3"/>
      <c r="Z24" s="2">
        <v>0</v>
      </c>
      <c r="AA24" s="3"/>
      <c r="AB24" s="2">
        <v>31874.65</v>
      </c>
      <c r="AC24" s="3"/>
      <c r="AD24" s="2">
        <v>-3794.5</v>
      </c>
      <c r="AE24" s="3"/>
      <c r="AF24" s="2">
        <v>-1044.6600000000001</v>
      </c>
      <c r="AG24" s="3"/>
      <c r="AH24" s="2">
        <v>-480.24</v>
      </c>
      <c r="AI24" s="3"/>
      <c r="AJ24" s="2">
        <v>2.99</v>
      </c>
      <c r="AK24" s="3"/>
      <c r="AL24" s="2">
        <v>-80.55</v>
      </c>
      <c r="AM24" s="3"/>
      <c r="AN24" s="2">
        <v>-628.66999999999996</v>
      </c>
      <c r="AO24" s="3"/>
      <c r="AP24" s="2">
        <v>95.6</v>
      </c>
      <c r="AQ24" s="3"/>
      <c r="AR24" s="2">
        <v>-70.459999999999994</v>
      </c>
      <c r="AS24" s="3"/>
      <c r="AT24" s="2">
        <v>-7290.47</v>
      </c>
      <c r="AU24" s="3"/>
      <c r="AV24" s="2">
        <v>-1319.41</v>
      </c>
      <c r="AW24" s="3"/>
      <c r="AX24" s="2">
        <v>-8829.56</v>
      </c>
      <c r="AY24" s="3"/>
      <c r="AZ24" s="2">
        <v>-4921.72</v>
      </c>
      <c r="BA24" s="3"/>
      <c r="BB24" s="2">
        <v>2540.04</v>
      </c>
      <c r="BC24" s="3"/>
      <c r="BD24" s="2">
        <v>2712.07</v>
      </c>
      <c r="BE24" s="3"/>
      <c r="BF24" s="2">
        <v>250729.96</v>
      </c>
      <c r="BG24" s="3"/>
      <c r="BH24" s="2">
        <v>-33873.54</v>
      </c>
      <c r="BI24" s="3"/>
      <c r="BJ24" s="2">
        <v>-1971.51</v>
      </c>
      <c r="BK24" s="3"/>
      <c r="BL24" s="2">
        <v>5535.32</v>
      </c>
      <c r="BM24" s="3"/>
      <c r="BN24" s="2">
        <v>37576.269999999997</v>
      </c>
      <c r="BO24" s="3"/>
      <c r="BP24" s="2">
        <v>2993.2</v>
      </c>
      <c r="BQ24" s="3"/>
      <c r="BR24" s="2">
        <v>-4016.86</v>
      </c>
      <c r="BS24" s="3"/>
      <c r="BT24" s="2">
        <v>-1451.13</v>
      </c>
      <c r="BU24" s="3"/>
      <c r="BV24" s="2">
        <v>-2648.59</v>
      </c>
      <c r="BW24" s="3"/>
      <c r="BX24" s="2">
        <v>-259387.86</v>
      </c>
      <c r="BY24" s="3"/>
      <c r="BZ24" s="2">
        <v>-1075.05</v>
      </c>
      <c r="CA24" s="3"/>
      <c r="CB24" s="2">
        <v>-27000.240000000002</v>
      </c>
      <c r="CC24" s="3"/>
      <c r="CD24" s="2">
        <v>-10571.04</v>
      </c>
      <c r="CE24" s="3"/>
      <c r="CF24" s="2">
        <v>-1100.55</v>
      </c>
      <c r="CG24" s="3"/>
      <c r="CH24" s="2">
        <v>-976.66</v>
      </c>
      <c r="CI24" s="3"/>
      <c r="CJ24" s="2">
        <v>-4182.54</v>
      </c>
      <c r="CK24" s="3"/>
      <c r="CL24" s="2">
        <v>-1047.06</v>
      </c>
      <c r="CM24" s="3"/>
      <c r="CN24" s="2">
        <v>-19172.09</v>
      </c>
      <c r="CO24" s="3"/>
      <c r="CP24" s="2">
        <v>-643.75</v>
      </c>
      <c r="CQ24" s="3"/>
      <c r="CR24" s="2">
        <v>-607.13</v>
      </c>
      <c r="CS24" s="3"/>
      <c r="CT24" s="2">
        <v>3024.05</v>
      </c>
      <c r="CU24" s="3"/>
      <c r="CV24" s="2">
        <v>35437.35</v>
      </c>
      <c r="CW24" s="3"/>
      <c r="CX24" s="2">
        <v>-5404.23</v>
      </c>
      <c r="CY24" s="3"/>
      <c r="CZ24" s="2">
        <v>73263.75</v>
      </c>
      <c r="DA24" s="3"/>
      <c r="DB24" s="2">
        <v>140619.31</v>
      </c>
      <c r="DC24" s="3"/>
      <c r="DD24" s="2">
        <v>-17269.27</v>
      </c>
      <c r="DE24" s="3"/>
      <c r="DF24" s="2">
        <v>10040.06</v>
      </c>
      <c r="DG24" s="3"/>
      <c r="DH24" s="2">
        <v>6094.22</v>
      </c>
      <c r="DI24" s="3"/>
      <c r="DJ24" s="2">
        <v>7976.51</v>
      </c>
      <c r="DK24" s="3"/>
      <c r="DL24" s="2">
        <v>-12615.56</v>
      </c>
      <c r="DM24" s="3"/>
      <c r="DN24" s="2">
        <v>-12919.57</v>
      </c>
      <c r="DO24" s="3"/>
      <c r="DP24" s="2">
        <v>-5861.75</v>
      </c>
      <c r="DQ24" s="3"/>
      <c r="DR24" s="2">
        <v>584.84</v>
      </c>
      <c r="DS24" s="3"/>
      <c r="DT24" s="2">
        <v>15937.76</v>
      </c>
      <c r="DU24" s="3"/>
      <c r="DV24" s="2">
        <v>-3984.23</v>
      </c>
      <c r="DW24" s="3"/>
      <c r="DX24" s="2">
        <v>-7189</v>
      </c>
      <c r="DY24" s="3"/>
      <c r="DZ24" s="2">
        <v>-33659.629999999997</v>
      </c>
      <c r="EA24" s="3"/>
      <c r="EB24" s="2">
        <v>909.37</v>
      </c>
      <c r="EC24" s="3"/>
      <c r="ED24" s="2">
        <v>-11472.91</v>
      </c>
      <c r="EE24" s="3"/>
      <c r="EF24" s="2">
        <v>-13668.76</v>
      </c>
      <c r="EG24" s="3"/>
      <c r="EH24" s="2">
        <f t="shared" si="1"/>
        <v>105716.57</v>
      </c>
    </row>
    <row r="25" spans="1:138" x14ac:dyDescent="0.45">
      <c r="A25" s="1"/>
      <c r="B25" s="1"/>
      <c r="C25" s="1"/>
      <c r="D25" s="1"/>
      <c r="E25" s="1" t="s">
        <v>90</v>
      </c>
      <c r="F25" s="2">
        <v>60.34</v>
      </c>
      <c r="G25" s="3"/>
      <c r="H25" s="2">
        <v>-86.71</v>
      </c>
      <c r="I25" s="3"/>
      <c r="J25" s="2">
        <v>3488.87</v>
      </c>
      <c r="K25" s="3"/>
      <c r="L25" s="2">
        <v>60.34</v>
      </c>
      <c r="M25" s="3"/>
      <c r="N25" s="2">
        <v>-86.71</v>
      </c>
      <c r="O25" s="3"/>
      <c r="P25" s="2">
        <v>3488.87</v>
      </c>
      <c r="Q25" s="3"/>
      <c r="R25" s="2">
        <v>-708.5</v>
      </c>
      <c r="S25" s="3"/>
      <c r="T25" s="2">
        <v>-43.87</v>
      </c>
      <c r="U25" s="3"/>
      <c r="V25" s="2">
        <v>4214.87</v>
      </c>
      <c r="W25" s="3"/>
      <c r="X25" s="2">
        <v>-86.71</v>
      </c>
      <c r="Y25" s="3"/>
      <c r="Z25" s="2">
        <v>495.06</v>
      </c>
      <c r="AA25" s="3"/>
      <c r="AB25" s="2">
        <v>3446.02</v>
      </c>
      <c r="AC25" s="3"/>
      <c r="AD25" s="2">
        <v>-43.87</v>
      </c>
      <c r="AE25" s="3"/>
      <c r="AF25" s="2">
        <v>60.34</v>
      </c>
      <c r="AG25" s="3"/>
      <c r="AH25" s="2">
        <v>623.20000000000005</v>
      </c>
      <c r="AI25" s="3"/>
      <c r="AJ25" s="2">
        <v>-502.52</v>
      </c>
      <c r="AK25" s="3"/>
      <c r="AL25" s="2">
        <v>-1.03</v>
      </c>
      <c r="AM25" s="3"/>
      <c r="AN25" s="2">
        <v>5822.59</v>
      </c>
      <c r="AO25" s="3"/>
      <c r="AP25" s="2">
        <v>103.18</v>
      </c>
      <c r="AQ25" s="3"/>
      <c r="AR25" s="2">
        <v>61.11</v>
      </c>
      <c r="AS25" s="3"/>
      <c r="AT25" s="2">
        <v>5776.31</v>
      </c>
      <c r="AU25" s="3"/>
      <c r="AV25" s="2">
        <v>-854.69</v>
      </c>
      <c r="AW25" s="3"/>
      <c r="AX25" s="2">
        <v>-37.26</v>
      </c>
      <c r="AY25" s="3"/>
      <c r="AZ25" s="2">
        <v>14881.82</v>
      </c>
      <c r="BA25" s="3"/>
      <c r="BB25" s="2">
        <v>445.36</v>
      </c>
      <c r="BC25" s="3"/>
      <c r="BD25" s="2">
        <v>6779.35</v>
      </c>
      <c r="BE25" s="3"/>
      <c r="BF25" s="2">
        <v>6677.15</v>
      </c>
      <c r="BG25" s="3"/>
      <c r="BH25" s="2">
        <v>99.9</v>
      </c>
      <c r="BI25" s="3"/>
      <c r="BJ25" s="2">
        <v>5.58</v>
      </c>
      <c r="BK25" s="3"/>
      <c r="BL25" s="2">
        <v>6718.89</v>
      </c>
      <c r="BM25" s="3"/>
      <c r="BN25" s="2">
        <v>99.9</v>
      </c>
      <c r="BO25" s="3"/>
      <c r="BP25" s="2">
        <v>773.46</v>
      </c>
      <c r="BQ25" s="3"/>
      <c r="BR25" s="2">
        <v>8771.24</v>
      </c>
      <c r="BS25" s="3"/>
      <c r="BT25" s="2">
        <v>309.73</v>
      </c>
      <c r="BU25" s="3"/>
      <c r="BV25" s="2">
        <v>705.18</v>
      </c>
      <c r="BW25" s="3"/>
      <c r="BX25" s="2">
        <v>727.44</v>
      </c>
      <c r="BY25" s="3"/>
      <c r="BZ25" s="2">
        <v>7631.25</v>
      </c>
      <c r="CA25" s="3"/>
      <c r="CB25" s="2">
        <v>7631.25</v>
      </c>
      <c r="CC25" s="3"/>
      <c r="CD25" s="2">
        <v>0</v>
      </c>
      <c r="CE25" s="3"/>
      <c r="CF25" s="2">
        <v>0</v>
      </c>
      <c r="CG25" s="3"/>
      <c r="CH25" s="2">
        <v>0</v>
      </c>
      <c r="CI25" s="3"/>
      <c r="CJ25" s="2">
        <v>6563.1</v>
      </c>
      <c r="CK25" s="3"/>
      <c r="CL25" s="2">
        <v>0</v>
      </c>
      <c r="CM25" s="3"/>
      <c r="CN25" s="2">
        <v>0</v>
      </c>
      <c r="CO25" s="3"/>
      <c r="CP25" s="2">
        <v>7637.25</v>
      </c>
      <c r="CQ25" s="3"/>
      <c r="CR25" s="2">
        <v>-94.32</v>
      </c>
      <c r="CS25" s="3"/>
      <c r="CT25" s="2">
        <v>0</v>
      </c>
      <c r="CU25" s="3"/>
      <c r="CV25" s="2">
        <v>176.52</v>
      </c>
      <c r="CW25" s="3"/>
      <c r="CX25" s="2">
        <v>8897.5</v>
      </c>
      <c r="CY25" s="3"/>
      <c r="CZ25" s="2">
        <v>0</v>
      </c>
      <c r="DA25" s="3"/>
      <c r="DB25" s="2">
        <v>7977.57</v>
      </c>
      <c r="DC25" s="3"/>
      <c r="DD25" s="2">
        <v>0</v>
      </c>
      <c r="DE25" s="3"/>
      <c r="DF25" s="2">
        <v>0</v>
      </c>
      <c r="DG25" s="3"/>
      <c r="DH25" s="2">
        <v>5617.04</v>
      </c>
      <c r="DI25" s="3"/>
      <c r="DJ25" s="2">
        <v>0</v>
      </c>
      <c r="DK25" s="3"/>
      <c r="DL25" s="2">
        <v>0</v>
      </c>
      <c r="DM25" s="3"/>
      <c r="DN25" s="2">
        <v>8043.18</v>
      </c>
      <c r="DO25" s="3"/>
      <c r="DP25" s="2">
        <v>0</v>
      </c>
      <c r="DQ25" s="3"/>
      <c r="DR25" s="2">
        <v>381.51</v>
      </c>
      <c r="DS25" s="3"/>
      <c r="DT25" s="2">
        <v>8874.75</v>
      </c>
      <c r="DU25" s="3"/>
      <c r="DV25" s="2">
        <v>763.02</v>
      </c>
      <c r="DW25" s="3"/>
      <c r="DX25" s="2">
        <v>381.51</v>
      </c>
      <c r="DY25" s="3"/>
      <c r="DZ25" s="2">
        <v>4440.1400000000003</v>
      </c>
      <c r="EA25" s="3"/>
      <c r="EB25" s="2">
        <v>381.51</v>
      </c>
      <c r="EC25" s="3"/>
      <c r="ED25" s="2">
        <v>381.51</v>
      </c>
      <c r="EE25" s="3"/>
      <c r="EF25" s="2">
        <v>9146.26</v>
      </c>
      <c r="EG25" s="3"/>
      <c r="EH25" s="2">
        <f t="shared" si="1"/>
        <v>157074.78</v>
      </c>
    </row>
    <row r="26" spans="1:138" x14ac:dyDescent="0.45">
      <c r="A26" s="1"/>
      <c r="B26" s="1"/>
      <c r="C26" s="1"/>
      <c r="D26" s="1"/>
      <c r="E26" s="1" t="s">
        <v>91</v>
      </c>
      <c r="F26" s="2">
        <v>0</v>
      </c>
      <c r="G26" s="3"/>
      <c r="H26" s="2">
        <v>0</v>
      </c>
      <c r="I26" s="3"/>
      <c r="J26" s="2">
        <v>0</v>
      </c>
      <c r="K26" s="3"/>
      <c r="L26" s="2">
        <v>0</v>
      </c>
      <c r="M26" s="3"/>
      <c r="N26" s="2">
        <v>0</v>
      </c>
      <c r="O26" s="3"/>
      <c r="P26" s="2">
        <v>0</v>
      </c>
      <c r="Q26" s="3"/>
      <c r="R26" s="2">
        <v>0</v>
      </c>
      <c r="S26" s="3"/>
      <c r="T26" s="2">
        <v>0</v>
      </c>
      <c r="U26" s="3"/>
      <c r="V26" s="2">
        <v>0</v>
      </c>
      <c r="W26" s="3"/>
      <c r="X26" s="2">
        <v>0</v>
      </c>
      <c r="Y26" s="3"/>
      <c r="Z26" s="2">
        <v>0</v>
      </c>
      <c r="AA26" s="3"/>
      <c r="AB26" s="2">
        <v>0</v>
      </c>
      <c r="AC26" s="3"/>
      <c r="AD26" s="2">
        <v>0</v>
      </c>
      <c r="AE26" s="3"/>
      <c r="AF26" s="2">
        <v>0</v>
      </c>
      <c r="AG26" s="3"/>
      <c r="AH26" s="2">
        <v>0</v>
      </c>
      <c r="AI26" s="3"/>
      <c r="AJ26" s="2">
        <v>0</v>
      </c>
      <c r="AK26" s="3"/>
      <c r="AL26" s="2">
        <v>0</v>
      </c>
      <c r="AM26" s="3"/>
      <c r="AN26" s="2">
        <v>0</v>
      </c>
      <c r="AO26" s="3"/>
      <c r="AP26" s="2">
        <v>0</v>
      </c>
      <c r="AQ26" s="3"/>
      <c r="AR26" s="2">
        <v>0</v>
      </c>
      <c r="AS26" s="3"/>
      <c r="AT26" s="2">
        <v>0</v>
      </c>
      <c r="AU26" s="3"/>
      <c r="AV26" s="2">
        <v>0</v>
      </c>
      <c r="AW26" s="3"/>
      <c r="AX26" s="2">
        <v>0</v>
      </c>
      <c r="AY26" s="3"/>
      <c r="AZ26" s="2">
        <v>6891.9</v>
      </c>
      <c r="BA26" s="3"/>
      <c r="BB26" s="2">
        <v>0</v>
      </c>
      <c r="BC26" s="3"/>
      <c r="BD26" s="2">
        <v>0</v>
      </c>
      <c r="BE26" s="3"/>
      <c r="BF26" s="2">
        <v>0</v>
      </c>
      <c r="BG26" s="3"/>
      <c r="BH26" s="2">
        <v>0</v>
      </c>
      <c r="BI26" s="3"/>
      <c r="BJ26" s="2">
        <v>0</v>
      </c>
      <c r="BK26" s="3"/>
      <c r="BL26" s="2">
        <v>0</v>
      </c>
      <c r="BM26" s="3"/>
      <c r="BN26" s="2">
        <v>0</v>
      </c>
      <c r="BO26" s="3"/>
      <c r="BP26" s="2">
        <v>0</v>
      </c>
      <c r="BQ26" s="3"/>
      <c r="BR26" s="2">
        <v>0</v>
      </c>
      <c r="BS26" s="3"/>
      <c r="BT26" s="2">
        <v>0</v>
      </c>
      <c r="BU26" s="3"/>
      <c r="BV26" s="2">
        <v>0</v>
      </c>
      <c r="BW26" s="3"/>
      <c r="BX26" s="2">
        <v>0</v>
      </c>
      <c r="BY26" s="3"/>
      <c r="BZ26" s="2">
        <v>-2.2000000000000002</v>
      </c>
      <c r="CA26" s="3"/>
      <c r="CB26" s="2">
        <v>0</v>
      </c>
      <c r="CC26" s="3"/>
      <c r="CD26" s="2">
        <v>0</v>
      </c>
      <c r="CE26" s="3"/>
      <c r="CF26" s="2">
        <v>0</v>
      </c>
      <c r="CG26" s="3"/>
      <c r="CH26" s="2">
        <v>0</v>
      </c>
      <c r="CI26" s="3"/>
      <c r="CJ26" s="2">
        <v>0</v>
      </c>
      <c r="CK26" s="3"/>
      <c r="CL26" s="2">
        <v>0</v>
      </c>
      <c r="CM26" s="3"/>
      <c r="CN26" s="2">
        <v>0</v>
      </c>
      <c r="CO26" s="3"/>
      <c r="CP26" s="2">
        <v>0</v>
      </c>
      <c r="CQ26" s="3"/>
      <c r="CR26" s="2">
        <v>0</v>
      </c>
      <c r="CS26" s="3"/>
      <c r="CT26" s="2">
        <v>0</v>
      </c>
      <c r="CU26" s="3"/>
      <c r="CV26" s="2">
        <v>0</v>
      </c>
      <c r="CW26" s="3"/>
      <c r="CX26" s="2">
        <v>0</v>
      </c>
      <c r="CY26" s="3"/>
      <c r="CZ26" s="2">
        <v>0</v>
      </c>
      <c r="DA26" s="3"/>
      <c r="DB26" s="2">
        <v>0</v>
      </c>
      <c r="DC26" s="3"/>
      <c r="DD26" s="2">
        <v>0</v>
      </c>
      <c r="DE26" s="3"/>
      <c r="DF26" s="2">
        <v>0</v>
      </c>
      <c r="DG26" s="3"/>
      <c r="DH26" s="2">
        <v>4724.55</v>
      </c>
      <c r="DI26" s="3"/>
      <c r="DJ26" s="2">
        <v>0</v>
      </c>
      <c r="DK26" s="3"/>
      <c r="DL26" s="2">
        <v>0</v>
      </c>
      <c r="DM26" s="3"/>
      <c r="DN26" s="2">
        <v>0</v>
      </c>
      <c r="DO26" s="3"/>
      <c r="DP26" s="2">
        <v>0</v>
      </c>
      <c r="DQ26" s="3"/>
      <c r="DR26" s="2">
        <v>0</v>
      </c>
      <c r="DS26" s="3"/>
      <c r="DT26" s="2">
        <v>0</v>
      </c>
      <c r="DU26" s="3"/>
      <c r="DV26" s="2">
        <v>0</v>
      </c>
      <c r="DW26" s="3"/>
      <c r="DX26" s="2">
        <v>0</v>
      </c>
      <c r="DY26" s="3"/>
      <c r="DZ26" s="2">
        <v>0</v>
      </c>
      <c r="EA26" s="3"/>
      <c r="EB26" s="2">
        <v>0</v>
      </c>
      <c r="EC26" s="3"/>
      <c r="ED26" s="2">
        <v>0</v>
      </c>
      <c r="EE26" s="3"/>
      <c r="EF26" s="2">
        <v>0</v>
      </c>
      <c r="EG26" s="3"/>
      <c r="EH26" s="2">
        <f t="shared" si="1"/>
        <v>11614.25</v>
      </c>
    </row>
    <row r="27" spans="1:138" x14ac:dyDescent="0.45">
      <c r="A27" s="1"/>
      <c r="B27" s="1"/>
      <c r="C27" s="1"/>
      <c r="D27" s="1"/>
      <c r="E27" s="1" t="s">
        <v>92</v>
      </c>
      <c r="F27" s="2">
        <v>0</v>
      </c>
      <c r="G27" s="3"/>
      <c r="H27" s="2">
        <v>0</v>
      </c>
      <c r="I27" s="3"/>
      <c r="J27" s="2">
        <v>6861.75</v>
      </c>
      <c r="K27" s="3"/>
      <c r="L27" s="2">
        <v>0</v>
      </c>
      <c r="M27" s="3"/>
      <c r="N27" s="2">
        <v>0</v>
      </c>
      <c r="O27" s="3"/>
      <c r="P27" s="2">
        <v>7609.75</v>
      </c>
      <c r="Q27" s="3"/>
      <c r="R27" s="2">
        <v>0</v>
      </c>
      <c r="S27" s="3"/>
      <c r="T27" s="2">
        <v>75</v>
      </c>
      <c r="U27" s="3"/>
      <c r="V27" s="2">
        <v>7609.75</v>
      </c>
      <c r="W27" s="3"/>
      <c r="X27" s="2">
        <v>316</v>
      </c>
      <c r="Y27" s="3"/>
      <c r="Z27" s="2">
        <v>0</v>
      </c>
      <c r="AA27" s="3"/>
      <c r="AB27" s="2">
        <v>0</v>
      </c>
      <c r="AC27" s="3"/>
      <c r="AD27" s="2">
        <v>2225.08</v>
      </c>
      <c r="AE27" s="3"/>
      <c r="AF27" s="2">
        <v>2225.08</v>
      </c>
      <c r="AG27" s="3"/>
      <c r="AH27" s="2">
        <v>2225.08</v>
      </c>
      <c r="AI27" s="3"/>
      <c r="AJ27" s="2">
        <v>0</v>
      </c>
      <c r="AK27" s="3"/>
      <c r="AL27" s="2">
        <v>0</v>
      </c>
      <c r="AM27" s="3"/>
      <c r="AN27" s="2">
        <v>2250</v>
      </c>
      <c r="AO27" s="3"/>
      <c r="AP27" s="2">
        <v>0</v>
      </c>
      <c r="AQ27" s="3"/>
      <c r="AR27" s="2">
        <v>0</v>
      </c>
      <c r="AS27" s="3"/>
      <c r="AT27" s="2">
        <v>2250</v>
      </c>
      <c r="AU27" s="3"/>
      <c r="AV27" s="2">
        <v>0</v>
      </c>
      <c r="AW27" s="3"/>
      <c r="AX27" s="2">
        <v>0</v>
      </c>
      <c r="AY27" s="3"/>
      <c r="AZ27" s="2">
        <v>-13413.58</v>
      </c>
      <c r="BA27" s="3"/>
      <c r="BB27" s="2">
        <v>0</v>
      </c>
      <c r="BC27" s="3"/>
      <c r="BD27" s="2">
        <v>2329.75</v>
      </c>
      <c r="BE27" s="3"/>
      <c r="BF27" s="2">
        <v>2329.75</v>
      </c>
      <c r="BG27" s="3"/>
      <c r="BH27" s="2">
        <v>1370</v>
      </c>
      <c r="BI27" s="3"/>
      <c r="BJ27" s="2">
        <v>449</v>
      </c>
      <c r="BK27" s="3"/>
      <c r="BL27" s="2">
        <v>2554.25</v>
      </c>
      <c r="BM27" s="3"/>
      <c r="BN27" s="2">
        <v>0</v>
      </c>
      <c r="BO27" s="3"/>
      <c r="BP27" s="2">
        <v>0</v>
      </c>
      <c r="BQ27" s="3"/>
      <c r="BR27" s="2">
        <v>2554.25</v>
      </c>
      <c r="BS27" s="3"/>
      <c r="BT27" s="2">
        <v>0</v>
      </c>
      <c r="BU27" s="3"/>
      <c r="BV27" s="2">
        <v>0</v>
      </c>
      <c r="BW27" s="3"/>
      <c r="BX27" s="2">
        <v>0</v>
      </c>
      <c r="BY27" s="3"/>
      <c r="BZ27" s="2">
        <v>2470.5</v>
      </c>
      <c r="CA27" s="3"/>
      <c r="CB27" s="2">
        <v>2470.5</v>
      </c>
      <c r="CC27" s="3"/>
      <c r="CD27" s="2">
        <v>0</v>
      </c>
      <c r="CE27" s="3"/>
      <c r="CF27" s="2">
        <v>0</v>
      </c>
      <c r="CG27" s="3"/>
      <c r="CH27" s="2">
        <v>0</v>
      </c>
      <c r="CI27" s="3"/>
      <c r="CJ27" s="2">
        <v>2124.65</v>
      </c>
      <c r="CK27" s="3"/>
      <c r="CL27" s="2">
        <v>0</v>
      </c>
      <c r="CM27" s="3"/>
      <c r="CN27" s="2">
        <v>0</v>
      </c>
      <c r="CO27" s="3"/>
      <c r="CP27" s="2">
        <v>2470.5</v>
      </c>
      <c r="CQ27" s="3"/>
      <c r="CR27" s="2">
        <v>0</v>
      </c>
      <c r="CS27" s="3"/>
      <c r="CT27" s="2">
        <v>0</v>
      </c>
      <c r="CU27" s="3"/>
      <c r="CV27" s="2">
        <v>0</v>
      </c>
      <c r="CW27" s="3"/>
      <c r="CX27" s="2">
        <v>2358.25</v>
      </c>
      <c r="CY27" s="3"/>
      <c r="CZ27" s="2">
        <v>0</v>
      </c>
      <c r="DA27" s="3"/>
      <c r="DB27" s="2">
        <v>2340.84</v>
      </c>
      <c r="DC27" s="3"/>
      <c r="DD27" s="2">
        <v>0</v>
      </c>
      <c r="DE27" s="3"/>
      <c r="DF27" s="2">
        <v>0</v>
      </c>
      <c r="DG27" s="3"/>
      <c r="DH27" s="2">
        <v>1646.37</v>
      </c>
      <c r="DI27" s="3"/>
      <c r="DJ27" s="2">
        <v>0</v>
      </c>
      <c r="DK27" s="3"/>
      <c r="DL27" s="2">
        <v>0</v>
      </c>
      <c r="DM27" s="3"/>
      <c r="DN27" s="2">
        <v>2358.25</v>
      </c>
      <c r="DO27" s="3"/>
      <c r="DP27" s="2">
        <v>0</v>
      </c>
      <c r="DQ27" s="3"/>
      <c r="DR27" s="2">
        <v>0</v>
      </c>
      <c r="DS27" s="3"/>
      <c r="DT27" s="2">
        <v>2207</v>
      </c>
      <c r="DU27" s="3"/>
      <c r="DV27" s="2">
        <v>0</v>
      </c>
      <c r="DW27" s="3"/>
      <c r="DX27" s="2">
        <v>0</v>
      </c>
      <c r="DY27" s="3"/>
      <c r="DZ27" s="2">
        <v>1021.12</v>
      </c>
      <c r="EA27" s="3"/>
      <c r="EB27" s="2">
        <v>0</v>
      </c>
      <c r="EC27" s="3"/>
      <c r="ED27" s="2">
        <v>0</v>
      </c>
      <c r="EE27" s="3"/>
      <c r="EF27" s="2">
        <v>2207</v>
      </c>
      <c r="EG27" s="3"/>
      <c r="EH27" s="2">
        <f t="shared" si="1"/>
        <v>55495.89</v>
      </c>
    </row>
    <row r="28" spans="1:138" x14ac:dyDescent="0.45">
      <c r="A28" s="1"/>
      <c r="B28" s="1"/>
      <c r="C28" s="1"/>
      <c r="D28" s="1"/>
      <c r="E28" s="1" t="s">
        <v>93</v>
      </c>
      <c r="F28" s="2">
        <v>0</v>
      </c>
      <c r="G28" s="3"/>
      <c r="H28" s="2">
        <v>0</v>
      </c>
      <c r="I28" s="3"/>
      <c r="J28" s="2">
        <v>0</v>
      </c>
      <c r="K28" s="3"/>
      <c r="L28" s="2">
        <v>0</v>
      </c>
      <c r="M28" s="3"/>
      <c r="N28" s="2">
        <v>0</v>
      </c>
      <c r="O28" s="3"/>
      <c r="P28" s="2">
        <v>8.9700000000000006</v>
      </c>
      <c r="Q28" s="3"/>
      <c r="R28" s="2">
        <v>0</v>
      </c>
      <c r="S28" s="3"/>
      <c r="T28" s="2">
        <v>0</v>
      </c>
      <c r="U28" s="3"/>
      <c r="V28" s="2">
        <v>-500</v>
      </c>
      <c r="W28" s="3"/>
      <c r="X28" s="2">
        <v>0</v>
      </c>
      <c r="Y28" s="3"/>
      <c r="Z28" s="2">
        <v>140.38</v>
      </c>
      <c r="AA28" s="3"/>
      <c r="AB28" s="2">
        <v>350.65</v>
      </c>
      <c r="AC28" s="3"/>
      <c r="AD28" s="2">
        <v>0</v>
      </c>
      <c r="AE28" s="3"/>
      <c r="AF28" s="2">
        <v>0</v>
      </c>
      <c r="AG28" s="3"/>
      <c r="AH28" s="2">
        <v>0</v>
      </c>
      <c r="AI28" s="3"/>
      <c r="AJ28" s="2">
        <v>0</v>
      </c>
      <c r="AK28" s="3"/>
      <c r="AL28" s="2">
        <v>8.64</v>
      </c>
      <c r="AM28" s="3"/>
      <c r="AN28" s="2">
        <v>31.93</v>
      </c>
      <c r="AO28" s="3"/>
      <c r="AP28" s="2">
        <v>0</v>
      </c>
      <c r="AQ28" s="3"/>
      <c r="AR28" s="2">
        <v>0</v>
      </c>
      <c r="AS28" s="3"/>
      <c r="AT28" s="2">
        <v>0</v>
      </c>
      <c r="AU28" s="3"/>
      <c r="AV28" s="2">
        <v>0</v>
      </c>
      <c r="AW28" s="3"/>
      <c r="AX28" s="2">
        <v>170</v>
      </c>
      <c r="AY28" s="3"/>
      <c r="AZ28" s="2">
        <v>-210.57</v>
      </c>
      <c r="BA28" s="3"/>
      <c r="BB28" s="2">
        <v>-12043.6</v>
      </c>
      <c r="BC28" s="3"/>
      <c r="BD28" s="2">
        <v>21</v>
      </c>
      <c r="BE28" s="3"/>
      <c r="BF28" s="2">
        <v>6</v>
      </c>
      <c r="BG28" s="3"/>
      <c r="BH28" s="2">
        <v>0</v>
      </c>
      <c r="BI28" s="3"/>
      <c r="BJ28" s="2">
        <v>27.83</v>
      </c>
      <c r="BK28" s="3"/>
      <c r="BL28" s="2">
        <v>0</v>
      </c>
      <c r="BM28" s="3"/>
      <c r="BN28" s="2">
        <v>36.15</v>
      </c>
      <c r="BO28" s="3"/>
      <c r="BP28" s="2">
        <v>150.02000000000001</v>
      </c>
      <c r="BQ28" s="3"/>
      <c r="BR28" s="2">
        <v>39.4</v>
      </c>
      <c r="BS28" s="3"/>
      <c r="BT28" s="2">
        <v>95</v>
      </c>
      <c r="BU28" s="3"/>
      <c r="BV28" s="2">
        <v>-121.73</v>
      </c>
      <c r="BW28" s="3"/>
      <c r="BX28" s="2">
        <v>11965.93</v>
      </c>
      <c r="BY28" s="3"/>
      <c r="BZ28" s="2">
        <v>120</v>
      </c>
      <c r="CA28" s="3"/>
      <c r="CB28" s="2">
        <v>21</v>
      </c>
      <c r="CC28" s="3"/>
      <c r="CD28" s="2">
        <v>0</v>
      </c>
      <c r="CE28" s="3"/>
      <c r="CF28" s="2">
        <v>0</v>
      </c>
      <c r="CG28" s="3"/>
      <c r="CH28" s="2">
        <v>0</v>
      </c>
      <c r="CI28" s="3"/>
      <c r="CJ28" s="2">
        <v>0</v>
      </c>
      <c r="CK28" s="3"/>
      <c r="CL28" s="2">
        <v>326.68</v>
      </c>
      <c r="CM28" s="3"/>
      <c r="CN28" s="2">
        <v>0</v>
      </c>
      <c r="CO28" s="3"/>
      <c r="CP28" s="2">
        <v>0</v>
      </c>
      <c r="CQ28" s="3"/>
      <c r="CR28" s="2">
        <v>0</v>
      </c>
      <c r="CS28" s="3"/>
      <c r="CT28" s="2">
        <v>0</v>
      </c>
      <c r="CU28" s="3"/>
      <c r="CV28" s="2">
        <v>2309.5300000000002</v>
      </c>
      <c r="CW28" s="3"/>
      <c r="CX28" s="2">
        <v>0</v>
      </c>
      <c r="CY28" s="3"/>
      <c r="CZ28" s="2">
        <v>0</v>
      </c>
      <c r="DA28" s="3"/>
      <c r="DB28" s="2">
        <v>7.5</v>
      </c>
      <c r="DC28" s="3"/>
      <c r="DD28" s="2">
        <v>429.49</v>
      </c>
      <c r="DE28" s="3"/>
      <c r="DF28" s="2">
        <v>0</v>
      </c>
      <c r="DG28" s="3"/>
      <c r="DH28" s="2">
        <v>227.99</v>
      </c>
      <c r="DI28" s="3"/>
      <c r="DJ28" s="2">
        <v>0</v>
      </c>
      <c r="DK28" s="3"/>
      <c r="DL28" s="2">
        <v>0</v>
      </c>
      <c r="DM28" s="3"/>
      <c r="DN28" s="2">
        <v>0</v>
      </c>
      <c r="DO28" s="3"/>
      <c r="DP28" s="2">
        <v>0</v>
      </c>
      <c r="DQ28" s="3"/>
      <c r="DR28" s="2">
        <v>0</v>
      </c>
      <c r="DS28" s="3"/>
      <c r="DT28" s="2">
        <v>0</v>
      </c>
      <c r="DU28" s="3"/>
      <c r="DV28" s="2">
        <v>0</v>
      </c>
      <c r="DW28" s="3"/>
      <c r="DX28" s="2">
        <v>0</v>
      </c>
      <c r="DY28" s="3"/>
      <c r="DZ28" s="2">
        <v>0</v>
      </c>
      <c r="EA28" s="3"/>
      <c r="EB28" s="2">
        <v>0</v>
      </c>
      <c r="EC28" s="3"/>
      <c r="ED28" s="2">
        <v>0</v>
      </c>
      <c r="EE28" s="3"/>
      <c r="EF28" s="2">
        <v>0</v>
      </c>
      <c r="EG28" s="3"/>
      <c r="EH28" s="2">
        <f t="shared" si="1"/>
        <v>3618.19</v>
      </c>
    </row>
    <row r="29" spans="1:138" x14ac:dyDescent="0.45">
      <c r="A29" s="1"/>
      <c r="B29" s="1"/>
      <c r="C29" s="1"/>
      <c r="D29" s="1"/>
      <c r="E29" s="1" t="s">
        <v>94</v>
      </c>
      <c r="F29" s="2">
        <v>0</v>
      </c>
      <c r="G29" s="3"/>
      <c r="H29" s="2">
        <v>0</v>
      </c>
      <c r="I29" s="3"/>
      <c r="J29" s="2">
        <v>0</v>
      </c>
      <c r="K29" s="3"/>
      <c r="L29" s="2">
        <v>0</v>
      </c>
      <c r="M29" s="3"/>
      <c r="N29" s="2">
        <v>5173.22</v>
      </c>
      <c r="O29" s="3"/>
      <c r="P29" s="2">
        <v>0</v>
      </c>
      <c r="Q29" s="3"/>
      <c r="R29" s="2">
        <v>0</v>
      </c>
      <c r="S29" s="3"/>
      <c r="T29" s="2">
        <v>5173.22</v>
      </c>
      <c r="U29" s="3"/>
      <c r="V29" s="2">
        <v>0</v>
      </c>
      <c r="W29" s="3"/>
      <c r="X29" s="2">
        <v>0</v>
      </c>
      <c r="Y29" s="3"/>
      <c r="Z29" s="2">
        <v>0</v>
      </c>
      <c r="AA29" s="3"/>
      <c r="AB29" s="2">
        <v>0</v>
      </c>
      <c r="AC29" s="3"/>
      <c r="AD29" s="2">
        <v>0</v>
      </c>
      <c r="AE29" s="3"/>
      <c r="AF29" s="2">
        <v>0</v>
      </c>
      <c r="AG29" s="3"/>
      <c r="AH29" s="2">
        <v>0</v>
      </c>
      <c r="AI29" s="3"/>
      <c r="AJ29" s="2">
        <v>0</v>
      </c>
      <c r="AK29" s="3"/>
      <c r="AL29" s="2">
        <v>5406.43</v>
      </c>
      <c r="AM29" s="3"/>
      <c r="AN29" s="2">
        <v>0</v>
      </c>
      <c r="AO29" s="3"/>
      <c r="AP29" s="2">
        <v>0</v>
      </c>
      <c r="AQ29" s="3"/>
      <c r="AR29" s="2">
        <v>5406.43</v>
      </c>
      <c r="AS29" s="3"/>
      <c r="AT29" s="2">
        <v>0</v>
      </c>
      <c r="AU29" s="3"/>
      <c r="AV29" s="2">
        <v>0</v>
      </c>
      <c r="AW29" s="3"/>
      <c r="AX29" s="2">
        <v>0</v>
      </c>
      <c r="AY29" s="3"/>
      <c r="AZ29" s="2">
        <v>0</v>
      </c>
      <c r="BA29" s="3"/>
      <c r="BB29" s="2">
        <v>0</v>
      </c>
      <c r="BC29" s="3"/>
      <c r="BD29" s="2">
        <v>0</v>
      </c>
      <c r="BE29" s="3"/>
      <c r="BF29" s="2">
        <v>0</v>
      </c>
      <c r="BG29" s="3"/>
      <c r="BH29" s="2">
        <v>0</v>
      </c>
      <c r="BI29" s="3"/>
      <c r="BJ29" s="2">
        <v>10930.6</v>
      </c>
      <c r="BK29" s="3"/>
      <c r="BL29" s="2">
        <v>0</v>
      </c>
      <c r="BM29" s="3"/>
      <c r="BN29" s="2">
        <v>0</v>
      </c>
      <c r="BO29" s="3"/>
      <c r="BP29" s="2">
        <v>0</v>
      </c>
      <c r="BQ29" s="3"/>
      <c r="BR29" s="2">
        <v>0</v>
      </c>
      <c r="BS29" s="3"/>
      <c r="BT29" s="2">
        <v>0</v>
      </c>
      <c r="BU29" s="3"/>
      <c r="BV29" s="2">
        <v>0</v>
      </c>
      <c r="BW29" s="3"/>
      <c r="BX29" s="2">
        <v>0</v>
      </c>
      <c r="BY29" s="3"/>
      <c r="BZ29" s="2">
        <v>0</v>
      </c>
      <c r="CA29" s="3"/>
      <c r="CB29" s="2">
        <v>0</v>
      </c>
      <c r="CC29" s="3"/>
      <c r="CD29" s="2">
        <v>0</v>
      </c>
      <c r="CE29" s="3"/>
      <c r="CF29" s="2">
        <v>0</v>
      </c>
      <c r="CG29" s="3"/>
      <c r="CH29" s="2">
        <v>5891.51</v>
      </c>
      <c r="CI29" s="3"/>
      <c r="CJ29" s="2">
        <v>0</v>
      </c>
      <c r="CK29" s="3"/>
      <c r="CL29" s="2">
        <v>0</v>
      </c>
      <c r="CM29" s="3"/>
      <c r="CN29" s="2">
        <v>0</v>
      </c>
      <c r="CO29" s="3"/>
      <c r="CP29" s="2">
        <v>0</v>
      </c>
      <c r="CQ29" s="3"/>
      <c r="CR29" s="2">
        <v>6108.26</v>
      </c>
      <c r="CS29" s="3"/>
      <c r="CT29" s="2">
        <v>0</v>
      </c>
      <c r="CU29" s="3"/>
      <c r="CV29" s="2">
        <v>0</v>
      </c>
      <c r="CW29" s="3"/>
      <c r="CX29" s="2">
        <v>0</v>
      </c>
      <c r="CY29" s="3"/>
      <c r="CZ29" s="2">
        <v>0</v>
      </c>
      <c r="DA29" s="3"/>
      <c r="DB29" s="2">
        <v>0</v>
      </c>
      <c r="DC29" s="3"/>
      <c r="DD29" s="2">
        <v>0</v>
      </c>
      <c r="DE29" s="3"/>
      <c r="DF29" s="2">
        <v>12097.4</v>
      </c>
      <c r="DG29" s="3"/>
      <c r="DH29" s="2">
        <v>0</v>
      </c>
      <c r="DI29" s="3"/>
      <c r="DJ29" s="2">
        <v>0</v>
      </c>
      <c r="DK29" s="3"/>
      <c r="DL29" s="2">
        <v>0</v>
      </c>
      <c r="DM29" s="3"/>
      <c r="DN29" s="2">
        <v>0</v>
      </c>
      <c r="DO29" s="3"/>
      <c r="DP29" s="2">
        <v>0</v>
      </c>
      <c r="DQ29" s="3"/>
      <c r="DR29" s="2">
        <v>0</v>
      </c>
      <c r="DS29" s="3"/>
      <c r="DT29" s="2">
        <v>0</v>
      </c>
      <c r="DU29" s="3"/>
      <c r="DV29" s="2">
        <v>0</v>
      </c>
      <c r="DW29" s="3"/>
      <c r="DX29" s="2">
        <v>0</v>
      </c>
      <c r="DY29" s="3"/>
      <c r="DZ29" s="2">
        <v>0</v>
      </c>
      <c r="EA29" s="3"/>
      <c r="EB29" s="2">
        <v>0</v>
      </c>
      <c r="EC29" s="3"/>
      <c r="ED29" s="2">
        <v>12607.68</v>
      </c>
      <c r="EE29" s="3"/>
      <c r="EF29" s="2">
        <v>0</v>
      </c>
      <c r="EG29" s="3"/>
      <c r="EH29" s="2">
        <f t="shared" si="1"/>
        <v>68794.75</v>
      </c>
    </row>
    <row r="30" spans="1:138" x14ac:dyDescent="0.45">
      <c r="A30" s="1"/>
      <c r="B30" s="1"/>
      <c r="C30" s="1"/>
      <c r="D30" s="1"/>
      <c r="E30" s="1" t="s">
        <v>95</v>
      </c>
      <c r="F30" s="2">
        <v>700</v>
      </c>
      <c r="G30" s="3"/>
      <c r="H30" s="2">
        <v>700</v>
      </c>
      <c r="I30" s="3"/>
      <c r="J30" s="2">
        <v>700</v>
      </c>
      <c r="K30" s="3"/>
      <c r="L30" s="2">
        <v>700</v>
      </c>
      <c r="M30" s="3"/>
      <c r="N30" s="2">
        <v>700</v>
      </c>
      <c r="O30" s="3"/>
      <c r="P30" s="2">
        <v>700</v>
      </c>
      <c r="Q30" s="3"/>
      <c r="R30" s="2">
        <v>700</v>
      </c>
      <c r="S30" s="3"/>
      <c r="T30" s="2">
        <v>700</v>
      </c>
      <c r="U30" s="3"/>
      <c r="V30" s="2">
        <v>700</v>
      </c>
      <c r="W30" s="3"/>
      <c r="X30" s="2">
        <v>700</v>
      </c>
      <c r="Y30" s="3"/>
      <c r="Z30" s="2">
        <v>700</v>
      </c>
      <c r="AA30" s="3"/>
      <c r="AB30" s="2">
        <v>700</v>
      </c>
      <c r="AC30" s="3"/>
      <c r="AD30" s="2">
        <v>1500</v>
      </c>
      <c r="AE30" s="3"/>
      <c r="AF30" s="2">
        <v>0</v>
      </c>
      <c r="AG30" s="3"/>
      <c r="AH30" s="2">
        <v>750</v>
      </c>
      <c r="AI30" s="3"/>
      <c r="AJ30" s="2">
        <v>750</v>
      </c>
      <c r="AK30" s="3"/>
      <c r="AL30" s="2">
        <v>750</v>
      </c>
      <c r="AM30" s="3"/>
      <c r="AN30" s="2">
        <v>750</v>
      </c>
      <c r="AO30" s="3"/>
      <c r="AP30" s="2">
        <v>0</v>
      </c>
      <c r="AQ30" s="3"/>
      <c r="AR30" s="2">
        <v>1500</v>
      </c>
      <c r="AS30" s="3"/>
      <c r="AT30" s="2">
        <v>750</v>
      </c>
      <c r="AU30" s="3"/>
      <c r="AV30" s="2">
        <v>750</v>
      </c>
      <c r="AW30" s="3"/>
      <c r="AX30" s="2">
        <v>750</v>
      </c>
      <c r="AY30" s="3"/>
      <c r="AZ30" s="2">
        <v>750</v>
      </c>
      <c r="BA30" s="3"/>
      <c r="BB30" s="2">
        <v>750</v>
      </c>
      <c r="BC30" s="3"/>
      <c r="BD30" s="2">
        <v>750</v>
      </c>
      <c r="BE30" s="3"/>
      <c r="BF30" s="2">
        <v>750</v>
      </c>
      <c r="BG30" s="3"/>
      <c r="BH30" s="2">
        <v>750</v>
      </c>
      <c r="BI30" s="3"/>
      <c r="BJ30" s="2">
        <v>750</v>
      </c>
      <c r="BK30" s="3"/>
      <c r="BL30" s="2">
        <v>750</v>
      </c>
      <c r="BM30" s="3"/>
      <c r="BN30" s="2">
        <v>0</v>
      </c>
      <c r="BO30" s="3"/>
      <c r="BP30" s="2">
        <v>1500</v>
      </c>
      <c r="BQ30" s="3"/>
      <c r="BR30" s="2">
        <v>750</v>
      </c>
      <c r="BS30" s="3"/>
      <c r="BT30" s="2">
        <v>750</v>
      </c>
      <c r="BU30" s="3"/>
      <c r="BV30" s="2">
        <v>750</v>
      </c>
      <c r="BW30" s="3"/>
      <c r="BX30" s="2">
        <v>750</v>
      </c>
      <c r="BY30" s="3"/>
      <c r="BZ30" s="2">
        <v>750</v>
      </c>
      <c r="CA30" s="3"/>
      <c r="CB30" s="2">
        <v>750</v>
      </c>
      <c r="CC30" s="3"/>
      <c r="CD30" s="2">
        <v>750</v>
      </c>
      <c r="CE30" s="3"/>
      <c r="CF30" s="2">
        <v>750</v>
      </c>
      <c r="CG30" s="3"/>
      <c r="CH30" s="2">
        <v>750</v>
      </c>
      <c r="CI30" s="3"/>
      <c r="CJ30" s="2">
        <v>750</v>
      </c>
      <c r="CK30" s="3"/>
      <c r="CL30" s="2">
        <v>750</v>
      </c>
      <c r="CM30" s="3"/>
      <c r="CN30" s="2">
        <v>750</v>
      </c>
      <c r="CO30" s="3"/>
      <c r="CP30" s="2">
        <v>750</v>
      </c>
      <c r="CQ30" s="3"/>
      <c r="CR30" s="2">
        <v>0</v>
      </c>
      <c r="CS30" s="3"/>
      <c r="CT30" s="2">
        <v>0</v>
      </c>
      <c r="CU30" s="3"/>
      <c r="CV30" s="2">
        <v>0</v>
      </c>
      <c r="CW30" s="3"/>
      <c r="CX30" s="2">
        <v>0</v>
      </c>
      <c r="CY30" s="3"/>
      <c r="CZ30" s="2">
        <v>0</v>
      </c>
      <c r="DA30" s="3"/>
      <c r="DB30" s="2">
        <v>0</v>
      </c>
      <c r="DC30" s="3"/>
      <c r="DD30" s="2">
        <v>0</v>
      </c>
      <c r="DE30" s="3"/>
      <c r="DF30" s="2">
        <v>0</v>
      </c>
      <c r="DG30" s="3"/>
      <c r="DH30" s="2">
        <v>0</v>
      </c>
      <c r="DI30" s="3"/>
      <c r="DJ30" s="2">
        <v>0</v>
      </c>
      <c r="DK30" s="3"/>
      <c r="DL30" s="2">
        <v>0</v>
      </c>
      <c r="DM30" s="3"/>
      <c r="DN30" s="2">
        <v>0</v>
      </c>
      <c r="DO30" s="3"/>
      <c r="DP30" s="2">
        <v>0</v>
      </c>
      <c r="DQ30" s="3"/>
      <c r="DR30" s="2">
        <v>0</v>
      </c>
      <c r="DS30" s="3"/>
      <c r="DT30" s="2">
        <v>0</v>
      </c>
      <c r="DU30" s="3"/>
      <c r="DV30" s="2">
        <v>0</v>
      </c>
      <c r="DW30" s="3"/>
      <c r="DX30" s="2">
        <v>0</v>
      </c>
      <c r="DY30" s="3"/>
      <c r="DZ30" s="2">
        <v>0</v>
      </c>
      <c r="EA30" s="3"/>
      <c r="EB30" s="2">
        <v>0</v>
      </c>
      <c r="EC30" s="3"/>
      <c r="ED30" s="2">
        <v>0</v>
      </c>
      <c r="EE30" s="3"/>
      <c r="EF30" s="2">
        <v>0</v>
      </c>
      <c r="EG30" s="3"/>
      <c r="EH30" s="2">
        <f t="shared" si="1"/>
        <v>33150</v>
      </c>
    </row>
    <row r="31" spans="1:138" x14ac:dyDescent="0.45">
      <c r="A31" s="1"/>
      <c r="B31" s="1"/>
      <c r="C31" s="1"/>
      <c r="D31" s="1"/>
      <c r="E31" s="1" t="s">
        <v>96</v>
      </c>
      <c r="F31" s="2">
        <v>1863</v>
      </c>
      <c r="G31" s="3"/>
      <c r="H31" s="2">
        <v>310</v>
      </c>
      <c r="I31" s="3"/>
      <c r="J31" s="2">
        <v>627.13</v>
      </c>
      <c r="K31" s="3"/>
      <c r="L31" s="2">
        <v>0</v>
      </c>
      <c r="M31" s="3"/>
      <c r="N31" s="2">
        <v>0</v>
      </c>
      <c r="O31" s="3"/>
      <c r="P31" s="2">
        <v>497.13</v>
      </c>
      <c r="Q31" s="3"/>
      <c r="R31" s="2">
        <v>0</v>
      </c>
      <c r="S31" s="3"/>
      <c r="T31" s="2">
        <v>325.38</v>
      </c>
      <c r="U31" s="3"/>
      <c r="V31" s="2">
        <v>497.13</v>
      </c>
      <c r="W31" s="3"/>
      <c r="X31" s="2">
        <v>1912</v>
      </c>
      <c r="Y31" s="3"/>
      <c r="Z31" s="2">
        <v>897.26</v>
      </c>
      <c r="AA31" s="3"/>
      <c r="AB31" s="2">
        <v>841.48</v>
      </c>
      <c r="AC31" s="3"/>
      <c r="AD31" s="2">
        <v>803</v>
      </c>
      <c r="AE31" s="3"/>
      <c r="AF31" s="2">
        <v>581</v>
      </c>
      <c r="AG31" s="3"/>
      <c r="AH31" s="2">
        <v>983.48</v>
      </c>
      <c r="AI31" s="3"/>
      <c r="AJ31" s="2">
        <v>70.09</v>
      </c>
      <c r="AK31" s="3"/>
      <c r="AL31" s="2">
        <v>2114.25</v>
      </c>
      <c r="AM31" s="3"/>
      <c r="AN31" s="2">
        <v>516.48</v>
      </c>
      <c r="AO31" s="3"/>
      <c r="AP31" s="2">
        <v>200</v>
      </c>
      <c r="AQ31" s="3"/>
      <c r="AR31" s="2">
        <v>662.22</v>
      </c>
      <c r="AS31" s="3"/>
      <c r="AT31" s="2">
        <v>516.48</v>
      </c>
      <c r="AU31" s="3"/>
      <c r="AV31" s="2">
        <v>3331.72</v>
      </c>
      <c r="AW31" s="3"/>
      <c r="AX31" s="2">
        <v>3588.86</v>
      </c>
      <c r="AY31" s="3"/>
      <c r="AZ31" s="2">
        <v>4967.2</v>
      </c>
      <c r="BA31" s="3"/>
      <c r="BB31" s="2">
        <v>1277</v>
      </c>
      <c r="BC31" s="3"/>
      <c r="BD31" s="2">
        <v>581</v>
      </c>
      <c r="BE31" s="3"/>
      <c r="BF31" s="2">
        <v>562.95000000000005</v>
      </c>
      <c r="BG31" s="3"/>
      <c r="BH31" s="2">
        <v>364.5</v>
      </c>
      <c r="BI31" s="3"/>
      <c r="BJ31" s="2">
        <v>580</v>
      </c>
      <c r="BK31" s="3"/>
      <c r="BL31" s="2">
        <v>812.95</v>
      </c>
      <c r="BM31" s="3"/>
      <c r="BN31" s="2">
        <v>1032.23</v>
      </c>
      <c r="BO31" s="3"/>
      <c r="BP31" s="2">
        <v>2462.46</v>
      </c>
      <c r="BQ31" s="3"/>
      <c r="BR31" s="2">
        <v>1507.83</v>
      </c>
      <c r="BS31" s="3"/>
      <c r="BT31" s="2">
        <v>410</v>
      </c>
      <c r="BU31" s="3"/>
      <c r="BV31" s="2">
        <v>0</v>
      </c>
      <c r="BW31" s="3"/>
      <c r="BX31" s="2">
        <v>592.79999999999995</v>
      </c>
      <c r="BY31" s="3"/>
      <c r="BZ31" s="2">
        <v>2975.2</v>
      </c>
      <c r="CA31" s="3"/>
      <c r="CB31" s="2">
        <v>0</v>
      </c>
      <c r="CC31" s="3"/>
      <c r="CD31" s="2">
        <v>-82.7</v>
      </c>
      <c r="CE31" s="3"/>
      <c r="CF31" s="2">
        <v>0</v>
      </c>
      <c r="CG31" s="3"/>
      <c r="CH31" s="2">
        <v>120</v>
      </c>
      <c r="CI31" s="3"/>
      <c r="CJ31" s="2">
        <v>1557.8</v>
      </c>
      <c r="CK31" s="3"/>
      <c r="CL31" s="2">
        <v>1652</v>
      </c>
      <c r="CM31" s="3"/>
      <c r="CN31" s="2">
        <v>1952</v>
      </c>
      <c r="CO31" s="3"/>
      <c r="CP31" s="2">
        <v>1486.79</v>
      </c>
      <c r="CQ31" s="3"/>
      <c r="CR31" s="2">
        <v>480</v>
      </c>
      <c r="CS31" s="3"/>
      <c r="CT31" s="2">
        <v>1184.2</v>
      </c>
      <c r="CU31" s="3"/>
      <c r="CV31" s="2">
        <v>2525.44</v>
      </c>
      <c r="CW31" s="3"/>
      <c r="CX31" s="2">
        <v>1284.8</v>
      </c>
      <c r="CY31" s="3"/>
      <c r="CZ31" s="2">
        <v>1559.6</v>
      </c>
      <c r="DA31" s="3"/>
      <c r="DB31" s="2">
        <v>685.64</v>
      </c>
      <c r="DC31" s="3"/>
      <c r="DD31" s="2">
        <v>481.24</v>
      </c>
      <c r="DE31" s="3"/>
      <c r="DF31" s="2">
        <v>360</v>
      </c>
      <c r="DG31" s="3"/>
      <c r="DH31" s="2">
        <v>1217.94</v>
      </c>
      <c r="DI31" s="3"/>
      <c r="DJ31" s="2">
        <v>1506.94</v>
      </c>
      <c r="DK31" s="3"/>
      <c r="DL31" s="2">
        <v>5167.12</v>
      </c>
      <c r="DM31" s="3"/>
      <c r="DN31" s="2">
        <v>3112.5</v>
      </c>
      <c r="DO31" s="3"/>
      <c r="DP31" s="2">
        <v>2500.6999999999998</v>
      </c>
      <c r="DQ31" s="3"/>
      <c r="DR31" s="2">
        <v>869.9</v>
      </c>
      <c r="DS31" s="3"/>
      <c r="DT31" s="2">
        <v>3005.1</v>
      </c>
      <c r="DU31" s="3"/>
      <c r="DV31" s="2">
        <v>1150.3</v>
      </c>
      <c r="DW31" s="3"/>
      <c r="DX31" s="2">
        <v>540.70000000000005</v>
      </c>
      <c r="DY31" s="3"/>
      <c r="DZ31" s="2">
        <v>979.3</v>
      </c>
      <c r="EA31" s="3"/>
      <c r="EB31" s="2">
        <v>0</v>
      </c>
      <c r="EC31" s="3"/>
      <c r="ED31" s="2">
        <v>0</v>
      </c>
      <c r="EE31" s="3"/>
      <c r="EF31" s="2">
        <v>1499.1</v>
      </c>
      <c r="EG31" s="3"/>
      <c r="EH31" s="2">
        <f t="shared" si="1"/>
        <v>76060.62</v>
      </c>
    </row>
    <row r="32" spans="1:138" x14ac:dyDescent="0.45">
      <c r="A32" s="1"/>
      <c r="B32" s="1"/>
      <c r="C32" s="1"/>
      <c r="D32" s="1"/>
      <c r="E32" s="1" t="s">
        <v>97</v>
      </c>
      <c r="F32" s="2">
        <v>0</v>
      </c>
      <c r="G32" s="3"/>
      <c r="H32" s="2">
        <v>0</v>
      </c>
      <c r="I32" s="3"/>
      <c r="J32" s="2">
        <v>0</v>
      </c>
      <c r="K32" s="3"/>
      <c r="L32" s="2">
        <v>2520</v>
      </c>
      <c r="M32" s="3"/>
      <c r="N32" s="2">
        <v>0</v>
      </c>
      <c r="O32" s="3"/>
      <c r="P32" s="2">
        <v>0</v>
      </c>
      <c r="Q32" s="3"/>
      <c r="R32" s="2">
        <v>0</v>
      </c>
      <c r="S32" s="3"/>
      <c r="T32" s="2">
        <v>0</v>
      </c>
      <c r="U32" s="3"/>
      <c r="V32" s="2">
        <v>0</v>
      </c>
      <c r="W32" s="3"/>
      <c r="X32" s="2">
        <v>0</v>
      </c>
      <c r="Y32" s="3"/>
      <c r="Z32" s="2">
        <v>228.69</v>
      </c>
      <c r="AA32" s="3"/>
      <c r="AB32" s="2">
        <v>6239.95</v>
      </c>
      <c r="AC32" s="3"/>
      <c r="AD32" s="2">
        <v>0</v>
      </c>
      <c r="AE32" s="3"/>
      <c r="AF32" s="2">
        <v>0</v>
      </c>
      <c r="AG32" s="3"/>
      <c r="AH32" s="2">
        <v>800</v>
      </c>
      <c r="AI32" s="3"/>
      <c r="AJ32" s="2">
        <v>0</v>
      </c>
      <c r="AK32" s="3"/>
      <c r="AL32" s="2">
        <v>0</v>
      </c>
      <c r="AM32" s="3"/>
      <c r="AN32" s="2">
        <v>0</v>
      </c>
      <c r="AO32" s="3"/>
      <c r="AP32" s="2">
        <v>0</v>
      </c>
      <c r="AQ32" s="3"/>
      <c r="AR32" s="2">
        <v>0</v>
      </c>
      <c r="AS32" s="3"/>
      <c r="AT32" s="2">
        <v>313.64999999999998</v>
      </c>
      <c r="AU32" s="3"/>
      <c r="AV32" s="2">
        <v>0</v>
      </c>
      <c r="AW32" s="3"/>
      <c r="AX32" s="2">
        <v>0</v>
      </c>
      <c r="AY32" s="3"/>
      <c r="AZ32" s="2">
        <v>0</v>
      </c>
      <c r="BA32" s="3"/>
      <c r="BB32" s="2">
        <v>0</v>
      </c>
      <c r="BC32" s="3"/>
      <c r="BD32" s="2">
        <v>0</v>
      </c>
      <c r="BE32" s="3"/>
      <c r="BF32" s="2">
        <v>0</v>
      </c>
      <c r="BG32" s="3"/>
      <c r="BH32" s="2">
        <v>0</v>
      </c>
      <c r="BI32" s="3"/>
      <c r="BJ32" s="2">
        <v>0</v>
      </c>
      <c r="BK32" s="3"/>
      <c r="BL32" s="2">
        <v>0</v>
      </c>
      <c r="BM32" s="3"/>
      <c r="BN32" s="2">
        <v>0</v>
      </c>
      <c r="BO32" s="3"/>
      <c r="BP32" s="2">
        <v>700</v>
      </c>
      <c r="BQ32" s="3"/>
      <c r="BR32" s="2">
        <v>1156.5999999999999</v>
      </c>
      <c r="BS32" s="3"/>
      <c r="BT32" s="2">
        <v>0</v>
      </c>
      <c r="BU32" s="3"/>
      <c r="BV32" s="2">
        <v>2450</v>
      </c>
      <c r="BW32" s="3"/>
      <c r="BX32" s="2">
        <v>1901.7</v>
      </c>
      <c r="BY32" s="3"/>
      <c r="BZ32" s="2">
        <v>3450</v>
      </c>
      <c r="CA32" s="3"/>
      <c r="CB32" s="2">
        <v>17446.259999999998</v>
      </c>
      <c r="CC32" s="3"/>
      <c r="CD32" s="2">
        <v>0</v>
      </c>
      <c r="CE32" s="3"/>
      <c r="CF32" s="2">
        <v>0</v>
      </c>
      <c r="CG32" s="3"/>
      <c r="CH32" s="2">
        <v>9900</v>
      </c>
      <c r="CI32" s="3"/>
      <c r="CJ32" s="2">
        <v>0</v>
      </c>
      <c r="CK32" s="3"/>
      <c r="CL32" s="2">
        <v>680</v>
      </c>
      <c r="CM32" s="3"/>
      <c r="CN32" s="2">
        <v>0</v>
      </c>
      <c r="CO32" s="3"/>
      <c r="CP32" s="2">
        <v>0</v>
      </c>
      <c r="CQ32" s="3"/>
      <c r="CR32" s="2">
        <v>0</v>
      </c>
      <c r="CS32" s="3"/>
      <c r="CT32" s="2">
        <v>480</v>
      </c>
      <c r="CU32" s="3"/>
      <c r="CV32" s="2">
        <v>0</v>
      </c>
      <c r="CW32" s="3"/>
      <c r="CX32" s="2">
        <v>8630</v>
      </c>
      <c r="CY32" s="3"/>
      <c r="CZ32" s="2">
        <v>0</v>
      </c>
      <c r="DA32" s="3"/>
      <c r="DB32" s="2">
        <v>0</v>
      </c>
      <c r="DC32" s="3"/>
      <c r="DD32" s="2">
        <v>3555</v>
      </c>
      <c r="DE32" s="3"/>
      <c r="DF32" s="2">
        <v>1777.5</v>
      </c>
      <c r="DG32" s="3"/>
      <c r="DH32" s="2">
        <v>0</v>
      </c>
      <c r="DI32" s="3"/>
      <c r="DJ32" s="2">
        <v>0</v>
      </c>
      <c r="DK32" s="3"/>
      <c r="DL32" s="2">
        <v>2584.0100000000002</v>
      </c>
      <c r="DM32" s="3"/>
      <c r="DN32" s="2">
        <v>0</v>
      </c>
      <c r="DO32" s="3"/>
      <c r="DP32" s="2">
        <v>0</v>
      </c>
      <c r="DQ32" s="3"/>
      <c r="DR32" s="2">
        <v>645.91</v>
      </c>
      <c r="DS32" s="3"/>
      <c r="DT32" s="2">
        <v>1777.5</v>
      </c>
      <c r="DU32" s="3"/>
      <c r="DV32" s="2">
        <v>0</v>
      </c>
      <c r="DW32" s="3"/>
      <c r="DX32" s="2">
        <v>0</v>
      </c>
      <c r="DY32" s="3"/>
      <c r="DZ32" s="2">
        <v>5452.03</v>
      </c>
      <c r="EA32" s="3"/>
      <c r="EB32" s="2">
        <v>0</v>
      </c>
      <c r="EC32" s="3"/>
      <c r="ED32" s="2">
        <v>520.39</v>
      </c>
      <c r="EE32" s="3"/>
      <c r="EF32" s="2">
        <v>4625</v>
      </c>
      <c r="EG32" s="3"/>
      <c r="EH32" s="2">
        <f t="shared" si="1"/>
        <v>77834.19</v>
      </c>
    </row>
    <row r="33" spans="1:138" x14ac:dyDescent="0.45">
      <c r="A33" s="1"/>
      <c r="B33" s="1"/>
      <c r="C33" s="1"/>
      <c r="D33" s="1"/>
      <c r="E33" s="1" t="s">
        <v>98</v>
      </c>
      <c r="F33" s="2">
        <v>0</v>
      </c>
      <c r="G33" s="3"/>
      <c r="H33" s="2">
        <v>63.3</v>
      </c>
      <c r="I33" s="3"/>
      <c r="J33" s="2">
        <v>29.24</v>
      </c>
      <c r="K33" s="3"/>
      <c r="L33" s="2">
        <v>0</v>
      </c>
      <c r="M33" s="3"/>
      <c r="N33" s="2">
        <v>0</v>
      </c>
      <c r="O33" s="3"/>
      <c r="P33" s="2">
        <v>0</v>
      </c>
      <c r="Q33" s="3"/>
      <c r="R33" s="2">
        <v>0</v>
      </c>
      <c r="S33" s="3"/>
      <c r="T33" s="2">
        <v>0</v>
      </c>
      <c r="U33" s="3"/>
      <c r="V33" s="2">
        <v>264.87</v>
      </c>
      <c r="W33" s="3"/>
      <c r="X33" s="2">
        <v>0</v>
      </c>
      <c r="Y33" s="3"/>
      <c r="Z33" s="2">
        <v>0</v>
      </c>
      <c r="AA33" s="3"/>
      <c r="AB33" s="2">
        <v>0</v>
      </c>
      <c r="AC33" s="3"/>
      <c r="AD33" s="2">
        <v>0</v>
      </c>
      <c r="AE33" s="3"/>
      <c r="AF33" s="2">
        <v>0</v>
      </c>
      <c r="AG33" s="3"/>
      <c r="AH33" s="2">
        <v>0</v>
      </c>
      <c r="AI33" s="3"/>
      <c r="AJ33" s="2">
        <v>0</v>
      </c>
      <c r="AK33" s="3"/>
      <c r="AL33" s="2">
        <v>0</v>
      </c>
      <c r="AM33" s="3"/>
      <c r="AN33" s="2">
        <v>1115</v>
      </c>
      <c r="AO33" s="3"/>
      <c r="AP33" s="2">
        <v>63.2</v>
      </c>
      <c r="AQ33" s="3"/>
      <c r="AR33" s="2">
        <v>0</v>
      </c>
      <c r="AS33" s="3"/>
      <c r="AT33" s="2">
        <v>0</v>
      </c>
      <c r="AU33" s="3"/>
      <c r="AV33" s="2">
        <v>8802</v>
      </c>
      <c r="AW33" s="3"/>
      <c r="AX33" s="2">
        <v>0</v>
      </c>
      <c r="AY33" s="3"/>
      <c r="AZ33" s="2">
        <v>0</v>
      </c>
      <c r="BA33" s="3"/>
      <c r="BB33" s="2">
        <v>0</v>
      </c>
      <c r="BC33" s="3"/>
      <c r="BD33" s="2">
        <v>0</v>
      </c>
      <c r="BE33" s="3"/>
      <c r="BF33" s="2">
        <v>63.1</v>
      </c>
      <c r="BG33" s="3"/>
      <c r="BH33" s="2">
        <v>0</v>
      </c>
      <c r="BI33" s="3"/>
      <c r="BJ33" s="2">
        <v>0</v>
      </c>
      <c r="BK33" s="3"/>
      <c r="BL33" s="2">
        <v>3745.8</v>
      </c>
      <c r="BM33" s="3"/>
      <c r="BN33" s="2">
        <v>1400</v>
      </c>
      <c r="BO33" s="3"/>
      <c r="BP33" s="2">
        <v>0</v>
      </c>
      <c r="BQ33" s="3"/>
      <c r="BR33" s="2">
        <v>0</v>
      </c>
      <c r="BS33" s="3"/>
      <c r="BT33" s="2">
        <v>0</v>
      </c>
      <c r="BU33" s="3"/>
      <c r="BV33" s="2">
        <v>170</v>
      </c>
      <c r="BW33" s="3"/>
      <c r="BX33" s="2">
        <v>170</v>
      </c>
      <c r="BY33" s="3"/>
      <c r="BZ33" s="2">
        <v>100</v>
      </c>
      <c r="CA33" s="3"/>
      <c r="CB33" s="2">
        <v>0</v>
      </c>
      <c r="CC33" s="3"/>
      <c r="CD33" s="2">
        <v>0</v>
      </c>
      <c r="CE33" s="3"/>
      <c r="CF33" s="2">
        <v>0</v>
      </c>
      <c r="CG33" s="3"/>
      <c r="CH33" s="2">
        <v>1004.42</v>
      </c>
      <c r="CI33" s="3"/>
      <c r="CJ33" s="2">
        <v>0</v>
      </c>
      <c r="CK33" s="3"/>
      <c r="CL33" s="2">
        <v>0</v>
      </c>
      <c r="CM33" s="3"/>
      <c r="CN33" s="2">
        <v>1317.87</v>
      </c>
      <c r="CO33" s="3"/>
      <c r="CP33" s="2">
        <v>0</v>
      </c>
      <c r="CQ33" s="3"/>
      <c r="CR33" s="2">
        <v>1317.87</v>
      </c>
      <c r="CS33" s="3"/>
      <c r="CT33" s="2">
        <v>0</v>
      </c>
      <c r="CU33" s="3"/>
      <c r="CV33" s="2">
        <v>0</v>
      </c>
      <c r="CW33" s="3"/>
      <c r="CX33" s="2">
        <v>0</v>
      </c>
      <c r="CY33" s="3"/>
      <c r="CZ33" s="2">
        <v>0</v>
      </c>
      <c r="DA33" s="3"/>
      <c r="DB33" s="2">
        <v>0</v>
      </c>
      <c r="DC33" s="3"/>
      <c r="DD33" s="2">
        <v>0</v>
      </c>
      <c r="DE33" s="3"/>
      <c r="DF33" s="2">
        <v>0</v>
      </c>
      <c r="DG33" s="3"/>
      <c r="DH33" s="2">
        <v>0</v>
      </c>
      <c r="DI33" s="3"/>
      <c r="DJ33" s="2">
        <v>0</v>
      </c>
      <c r="DK33" s="3"/>
      <c r="DL33" s="2">
        <v>0</v>
      </c>
      <c r="DM33" s="3"/>
      <c r="DN33" s="2">
        <v>0</v>
      </c>
      <c r="DO33" s="3"/>
      <c r="DP33" s="2">
        <v>0</v>
      </c>
      <c r="DQ33" s="3"/>
      <c r="DR33" s="2">
        <v>150</v>
      </c>
      <c r="DS33" s="3"/>
      <c r="DT33" s="2">
        <v>-150</v>
      </c>
      <c r="DU33" s="3"/>
      <c r="DV33" s="2">
        <v>-150</v>
      </c>
      <c r="DW33" s="3"/>
      <c r="DX33" s="2">
        <v>1560</v>
      </c>
      <c r="DY33" s="3"/>
      <c r="DZ33" s="2">
        <v>596.79999999999995</v>
      </c>
      <c r="EA33" s="3"/>
      <c r="EB33" s="2">
        <v>0</v>
      </c>
      <c r="EC33" s="3"/>
      <c r="ED33" s="2">
        <v>0</v>
      </c>
      <c r="EE33" s="3"/>
      <c r="EF33" s="2">
        <v>300</v>
      </c>
      <c r="EG33" s="3"/>
      <c r="EH33" s="2">
        <f t="shared" si="1"/>
        <v>21933.47</v>
      </c>
    </row>
    <row r="34" spans="1:138" x14ac:dyDescent="0.45">
      <c r="A34" s="1"/>
      <c r="B34" s="1"/>
      <c r="C34" s="1"/>
      <c r="D34" s="1"/>
      <c r="E34" s="1" t="s">
        <v>99</v>
      </c>
      <c r="F34" s="2">
        <v>889.54</v>
      </c>
      <c r="G34" s="3"/>
      <c r="H34" s="2">
        <v>540.94000000000005</v>
      </c>
      <c r="I34" s="3"/>
      <c r="J34" s="2">
        <v>1140.8</v>
      </c>
      <c r="K34" s="3"/>
      <c r="L34" s="2">
        <v>316.75</v>
      </c>
      <c r="M34" s="3"/>
      <c r="N34" s="2">
        <v>544.62</v>
      </c>
      <c r="O34" s="3"/>
      <c r="P34" s="2">
        <v>46.2</v>
      </c>
      <c r="Q34" s="3"/>
      <c r="R34" s="2">
        <v>430.28</v>
      </c>
      <c r="S34" s="3"/>
      <c r="T34" s="2">
        <v>4797.8999999999996</v>
      </c>
      <c r="U34" s="3"/>
      <c r="V34" s="2">
        <v>0</v>
      </c>
      <c r="W34" s="3"/>
      <c r="X34" s="2">
        <v>8.7799999999999994</v>
      </c>
      <c r="Y34" s="3"/>
      <c r="Z34" s="2">
        <v>11.75</v>
      </c>
      <c r="AA34" s="3"/>
      <c r="AB34" s="2">
        <v>0</v>
      </c>
      <c r="AC34" s="3"/>
      <c r="AD34" s="2">
        <v>23933</v>
      </c>
      <c r="AE34" s="3"/>
      <c r="AF34" s="2">
        <v>0</v>
      </c>
      <c r="AG34" s="3"/>
      <c r="AH34" s="2">
        <v>0</v>
      </c>
      <c r="AI34" s="3"/>
      <c r="AJ34" s="2">
        <v>0</v>
      </c>
      <c r="AK34" s="3"/>
      <c r="AL34" s="2">
        <v>163.63999999999999</v>
      </c>
      <c r="AM34" s="3"/>
      <c r="AN34" s="2">
        <v>21.36</v>
      </c>
      <c r="AO34" s="3"/>
      <c r="AP34" s="2">
        <v>1244.6400000000001</v>
      </c>
      <c r="AQ34" s="3"/>
      <c r="AR34" s="2">
        <v>0</v>
      </c>
      <c r="AS34" s="3"/>
      <c r="AT34" s="2">
        <v>0</v>
      </c>
      <c r="AU34" s="3"/>
      <c r="AV34" s="2">
        <v>0</v>
      </c>
      <c r="AW34" s="3"/>
      <c r="AX34" s="2">
        <v>-80.25</v>
      </c>
      <c r="AY34" s="3"/>
      <c r="AZ34" s="2">
        <v>0</v>
      </c>
      <c r="BA34" s="3"/>
      <c r="BB34" s="2">
        <v>0</v>
      </c>
      <c r="BC34" s="3"/>
      <c r="BD34" s="2">
        <v>127.16</v>
      </c>
      <c r="BE34" s="3"/>
      <c r="BF34" s="2">
        <v>60.4</v>
      </c>
      <c r="BG34" s="3"/>
      <c r="BH34" s="2">
        <v>0</v>
      </c>
      <c r="BI34" s="3"/>
      <c r="BJ34" s="2">
        <v>45.26</v>
      </c>
      <c r="BK34" s="3"/>
      <c r="BL34" s="2">
        <v>0</v>
      </c>
      <c r="BM34" s="3"/>
      <c r="BN34" s="2">
        <v>0</v>
      </c>
      <c r="BO34" s="3"/>
      <c r="BP34" s="2">
        <v>0</v>
      </c>
      <c r="BQ34" s="3"/>
      <c r="BR34" s="2">
        <v>0</v>
      </c>
      <c r="BS34" s="3"/>
      <c r="BT34" s="2">
        <v>0</v>
      </c>
      <c r="BU34" s="3"/>
      <c r="BV34" s="2">
        <v>0</v>
      </c>
      <c r="BW34" s="3"/>
      <c r="BX34" s="2">
        <v>0</v>
      </c>
      <c r="BY34" s="3"/>
      <c r="BZ34" s="2">
        <v>0</v>
      </c>
      <c r="CA34" s="3"/>
      <c r="CB34" s="2">
        <v>0</v>
      </c>
      <c r="CC34" s="3"/>
      <c r="CD34" s="2">
        <v>0</v>
      </c>
      <c r="CE34" s="3"/>
      <c r="CF34" s="2">
        <v>0</v>
      </c>
      <c r="CG34" s="3"/>
      <c r="CH34" s="2">
        <v>0</v>
      </c>
      <c r="CI34" s="3"/>
      <c r="CJ34" s="2">
        <v>0</v>
      </c>
      <c r="CK34" s="3"/>
      <c r="CL34" s="2">
        <v>0</v>
      </c>
      <c r="CM34" s="3"/>
      <c r="CN34" s="2">
        <v>0</v>
      </c>
      <c r="CO34" s="3"/>
      <c r="CP34" s="2">
        <v>0</v>
      </c>
      <c r="CQ34" s="3"/>
      <c r="CR34" s="2">
        <v>0</v>
      </c>
      <c r="CS34" s="3"/>
      <c r="CT34" s="2">
        <v>0</v>
      </c>
      <c r="CU34" s="3"/>
      <c r="CV34" s="2">
        <v>0</v>
      </c>
      <c r="CW34" s="3"/>
      <c r="CX34" s="2">
        <v>0</v>
      </c>
      <c r="CY34" s="3"/>
      <c r="CZ34" s="2">
        <v>1165.81</v>
      </c>
      <c r="DA34" s="3"/>
      <c r="DB34" s="2">
        <v>0</v>
      </c>
      <c r="DC34" s="3"/>
      <c r="DD34" s="2">
        <v>0</v>
      </c>
      <c r="DE34" s="3"/>
      <c r="DF34" s="2">
        <v>0</v>
      </c>
      <c r="DG34" s="3"/>
      <c r="DH34" s="2">
        <v>0</v>
      </c>
      <c r="DI34" s="3"/>
      <c r="DJ34" s="2">
        <v>0</v>
      </c>
      <c r="DK34" s="3"/>
      <c r="DL34" s="2">
        <v>0</v>
      </c>
      <c r="DM34" s="3"/>
      <c r="DN34" s="2">
        <v>0</v>
      </c>
      <c r="DO34" s="3"/>
      <c r="DP34" s="2">
        <v>0</v>
      </c>
      <c r="DQ34" s="3"/>
      <c r="DR34" s="2">
        <v>0</v>
      </c>
      <c r="DS34" s="3"/>
      <c r="DT34" s="2">
        <v>0</v>
      </c>
      <c r="DU34" s="3"/>
      <c r="DV34" s="2">
        <v>1219</v>
      </c>
      <c r="DW34" s="3"/>
      <c r="DX34" s="2">
        <v>0</v>
      </c>
      <c r="DY34" s="3"/>
      <c r="DZ34" s="2">
        <v>0</v>
      </c>
      <c r="EA34" s="3"/>
      <c r="EB34" s="2">
        <v>0</v>
      </c>
      <c r="EC34" s="3"/>
      <c r="ED34" s="2">
        <v>61.57</v>
      </c>
      <c r="EE34" s="3"/>
      <c r="EF34" s="2">
        <v>242.09</v>
      </c>
      <c r="EG34" s="3"/>
      <c r="EH34" s="2">
        <f t="shared" si="1"/>
        <v>36931.24</v>
      </c>
    </row>
    <row r="35" spans="1:138" x14ac:dyDescent="0.45">
      <c r="A35" s="1"/>
      <c r="B35" s="1"/>
      <c r="C35" s="1"/>
      <c r="D35" s="1"/>
      <c r="E35" s="1" t="s">
        <v>100</v>
      </c>
      <c r="F35" s="2">
        <v>16.5</v>
      </c>
      <c r="G35" s="3"/>
      <c r="H35" s="2">
        <v>135.75</v>
      </c>
      <c r="I35" s="3"/>
      <c r="J35" s="2">
        <v>19.88</v>
      </c>
      <c r="K35" s="3"/>
      <c r="L35" s="2">
        <v>544</v>
      </c>
      <c r="M35" s="3"/>
      <c r="N35" s="2">
        <v>0</v>
      </c>
      <c r="O35" s="3"/>
      <c r="P35" s="2">
        <v>0</v>
      </c>
      <c r="Q35" s="3"/>
      <c r="R35" s="2">
        <v>18.899999999999999</v>
      </c>
      <c r="S35" s="3"/>
      <c r="T35" s="2">
        <v>0</v>
      </c>
      <c r="U35" s="3"/>
      <c r="V35" s="2">
        <v>78.569999999999993</v>
      </c>
      <c r="W35" s="3"/>
      <c r="X35" s="2">
        <v>0</v>
      </c>
      <c r="Y35" s="3"/>
      <c r="Z35" s="2">
        <v>0</v>
      </c>
      <c r="AA35" s="3"/>
      <c r="AB35" s="2">
        <v>-813.6</v>
      </c>
      <c r="AC35" s="3"/>
      <c r="AD35" s="2">
        <v>160.54</v>
      </c>
      <c r="AE35" s="3"/>
      <c r="AF35" s="2">
        <v>0</v>
      </c>
      <c r="AG35" s="3"/>
      <c r="AH35" s="2">
        <v>-883.99</v>
      </c>
      <c r="AI35" s="3"/>
      <c r="AJ35" s="2">
        <v>86.58</v>
      </c>
      <c r="AK35" s="3"/>
      <c r="AL35" s="2">
        <v>25.17</v>
      </c>
      <c r="AM35" s="3"/>
      <c r="AN35" s="2">
        <v>0</v>
      </c>
      <c r="AO35" s="3"/>
      <c r="AP35" s="2">
        <v>0</v>
      </c>
      <c r="AQ35" s="3"/>
      <c r="AR35" s="2">
        <v>0</v>
      </c>
      <c r="AS35" s="3"/>
      <c r="AT35" s="2">
        <v>101.22</v>
      </c>
      <c r="AU35" s="3"/>
      <c r="AV35" s="2">
        <v>612.19000000000005</v>
      </c>
      <c r="AW35" s="3"/>
      <c r="AX35" s="2">
        <v>0</v>
      </c>
      <c r="AY35" s="3"/>
      <c r="AZ35" s="2">
        <v>3269.29</v>
      </c>
      <c r="BA35" s="3"/>
      <c r="BB35" s="2">
        <v>4.78</v>
      </c>
      <c r="BC35" s="3"/>
      <c r="BD35" s="2">
        <v>0</v>
      </c>
      <c r="BE35" s="3"/>
      <c r="BF35" s="2">
        <v>0</v>
      </c>
      <c r="BG35" s="3"/>
      <c r="BH35" s="2">
        <v>0</v>
      </c>
      <c r="BI35" s="3"/>
      <c r="BJ35" s="2">
        <v>0</v>
      </c>
      <c r="BK35" s="3"/>
      <c r="BL35" s="2">
        <v>0</v>
      </c>
      <c r="BM35" s="3"/>
      <c r="BN35" s="2">
        <v>0</v>
      </c>
      <c r="BO35" s="3"/>
      <c r="BP35" s="2">
        <v>0</v>
      </c>
      <c r="BQ35" s="3"/>
      <c r="BR35" s="2">
        <v>0</v>
      </c>
      <c r="BS35" s="3"/>
      <c r="BT35" s="2">
        <v>0</v>
      </c>
      <c r="BU35" s="3"/>
      <c r="BV35" s="2">
        <v>0</v>
      </c>
      <c r="BW35" s="3"/>
      <c r="BX35" s="2">
        <v>-4.78</v>
      </c>
      <c r="BY35" s="3"/>
      <c r="BZ35" s="2">
        <v>0</v>
      </c>
      <c r="CA35" s="3"/>
      <c r="CB35" s="2">
        <v>74.239999999999995</v>
      </c>
      <c r="CC35" s="3"/>
      <c r="CD35" s="2">
        <v>0</v>
      </c>
      <c r="CE35" s="3"/>
      <c r="CF35" s="2">
        <v>500</v>
      </c>
      <c r="CG35" s="3"/>
      <c r="CH35" s="2">
        <v>0</v>
      </c>
      <c r="CI35" s="3"/>
      <c r="CJ35" s="2">
        <v>0</v>
      </c>
      <c r="CK35" s="3"/>
      <c r="CL35" s="2">
        <v>0</v>
      </c>
      <c r="CM35" s="3"/>
      <c r="CN35" s="2">
        <v>0</v>
      </c>
      <c r="CO35" s="3"/>
      <c r="CP35" s="2">
        <v>0</v>
      </c>
      <c r="CQ35" s="3"/>
      <c r="CR35" s="2">
        <v>0</v>
      </c>
      <c r="CS35" s="3"/>
      <c r="CT35" s="2">
        <v>0</v>
      </c>
      <c r="CU35" s="3"/>
      <c r="CV35" s="2">
        <v>413.64</v>
      </c>
      <c r="CW35" s="3"/>
      <c r="CX35" s="2">
        <v>0</v>
      </c>
      <c r="CY35" s="3"/>
      <c r="CZ35" s="2">
        <v>121.33</v>
      </c>
      <c r="DA35" s="3"/>
      <c r="DB35" s="2">
        <v>0</v>
      </c>
      <c r="DC35" s="3"/>
      <c r="DD35" s="2">
        <v>25.41</v>
      </c>
      <c r="DE35" s="3"/>
      <c r="DF35" s="2">
        <v>0</v>
      </c>
      <c r="DG35" s="3"/>
      <c r="DH35" s="2">
        <v>101.77</v>
      </c>
      <c r="DI35" s="3"/>
      <c r="DJ35" s="2">
        <v>0</v>
      </c>
      <c r="DK35" s="3"/>
      <c r="DL35" s="2">
        <v>874.47</v>
      </c>
      <c r="DM35" s="3"/>
      <c r="DN35" s="2">
        <v>0</v>
      </c>
      <c r="DO35" s="3"/>
      <c r="DP35" s="2">
        <v>2258</v>
      </c>
      <c r="DQ35" s="3"/>
      <c r="DR35" s="2">
        <v>0</v>
      </c>
      <c r="DS35" s="3"/>
      <c r="DT35" s="2">
        <v>-3380.98</v>
      </c>
      <c r="DU35" s="3"/>
      <c r="DV35" s="2">
        <v>2926</v>
      </c>
      <c r="DW35" s="3"/>
      <c r="DX35" s="2">
        <v>0</v>
      </c>
      <c r="DY35" s="3"/>
      <c r="DZ35" s="2">
        <v>0</v>
      </c>
      <c r="EA35" s="3"/>
      <c r="EB35" s="2">
        <v>3985</v>
      </c>
      <c r="EC35" s="3"/>
      <c r="ED35" s="2">
        <v>0</v>
      </c>
      <c r="EE35" s="3"/>
      <c r="EF35" s="2">
        <v>4449.92</v>
      </c>
      <c r="EG35" s="3"/>
      <c r="EH35" s="2">
        <f t="shared" si="1"/>
        <v>15719.8</v>
      </c>
    </row>
    <row r="36" spans="1:138" x14ac:dyDescent="0.45">
      <c r="A36" s="1"/>
      <c r="B36" s="1"/>
      <c r="C36" s="1"/>
      <c r="D36" s="1"/>
      <c r="E36" s="1" t="s">
        <v>101</v>
      </c>
      <c r="F36" s="2">
        <v>315.2</v>
      </c>
      <c r="G36" s="3"/>
      <c r="H36" s="2">
        <v>486</v>
      </c>
      <c r="I36" s="3"/>
      <c r="J36" s="2">
        <v>640.76</v>
      </c>
      <c r="K36" s="3"/>
      <c r="L36" s="2">
        <v>265.68</v>
      </c>
      <c r="M36" s="3"/>
      <c r="N36" s="2">
        <v>180</v>
      </c>
      <c r="O36" s="3"/>
      <c r="P36" s="2">
        <v>0</v>
      </c>
      <c r="Q36" s="3"/>
      <c r="R36" s="2">
        <v>0</v>
      </c>
      <c r="S36" s="3"/>
      <c r="T36" s="2">
        <v>0</v>
      </c>
      <c r="U36" s="3"/>
      <c r="V36" s="2">
        <v>663</v>
      </c>
      <c r="W36" s="3"/>
      <c r="X36" s="2">
        <v>-15</v>
      </c>
      <c r="Y36" s="3"/>
      <c r="Z36" s="2">
        <v>1096.23</v>
      </c>
      <c r="AA36" s="3"/>
      <c r="AB36" s="2">
        <v>0</v>
      </c>
      <c r="AC36" s="3"/>
      <c r="AD36" s="2">
        <v>0</v>
      </c>
      <c r="AE36" s="3"/>
      <c r="AF36" s="2">
        <v>87.1</v>
      </c>
      <c r="AG36" s="3"/>
      <c r="AH36" s="2">
        <v>1143.74</v>
      </c>
      <c r="AI36" s="3"/>
      <c r="AJ36" s="2">
        <v>-33.1</v>
      </c>
      <c r="AK36" s="3"/>
      <c r="AL36" s="2">
        <v>2254.41</v>
      </c>
      <c r="AM36" s="3"/>
      <c r="AN36" s="2">
        <v>0</v>
      </c>
      <c r="AO36" s="3"/>
      <c r="AP36" s="2">
        <v>114.7</v>
      </c>
      <c r="AQ36" s="3"/>
      <c r="AR36" s="2">
        <v>504.65</v>
      </c>
      <c r="AS36" s="3"/>
      <c r="AT36" s="2">
        <v>777.01</v>
      </c>
      <c r="AU36" s="3"/>
      <c r="AV36" s="2">
        <v>93.26</v>
      </c>
      <c r="AW36" s="3"/>
      <c r="AX36" s="2">
        <v>198.22</v>
      </c>
      <c r="AY36" s="3"/>
      <c r="AZ36" s="2">
        <v>18.41</v>
      </c>
      <c r="BA36" s="3"/>
      <c r="BB36" s="2">
        <v>64.73</v>
      </c>
      <c r="BC36" s="3"/>
      <c r="BD36" s="2">
        <v>0</v>
      </c>
      <c r="BE36" s="3"/>
      <c r="BF36" s="2">
        <v>-72.05</v>
      </c>
      <c r="BG36" s="3"/>
      <c r="BH36" s="2">
        <v>687.38</v>
      </c>
      <c r="BI36" s="3"/>
      <c r="BJ36" s="2">
        <v>498.99</v>
      </c>
      <c r="BK36" s="3"/>
      <c r="BL36" s="2">
        <v>1084.1600000000001</v>
      </c>
      <c r="BM36" s="3"/>
      <c r="BN36" s="2">
        <v>707.51</v>
      </c>
      <c r="BO36" s="3"/>
      <c r="BP36" s="2">
        <v>10.67</v>
      </c>
      <c r="BQ36" s="3"/>
      <c r="BR36" s="2">
        <v>1013.18</v>
      </c>
      <c r="BS36" s="3"/>
      <c r="BT36" s="2">
        <v>323.57</v>
      </c>
      <c r="BU36" s="3"/>
      <c r="BV36" s="2">
        <v>617.80999999999995</v>
      </c>
      <c r="BW36" s="3"/>
      <c r="BX36" s="2">
        <v>0</v>
      </c>
      <c r="BY36" s="3"/>
      <c r="BZ36" s="2">
        <v>528.15</v>
      </c>
      <c r="CA36" s="3"/>
      <c r="CB36" s="2">
        <v>653.84</v>
      </c>
      <c r="CC36" s="3"/>
      <c r="CD36" s="2">
        <v>398.59</v>
      </c>
      <c r="CE36" s="3"/>
      <c r="CF36" s="2">
        <v>695.99</v>
      </c>
      <c r="CG36" s="3"/>
      <c r="CH36" s="2">
        <v>566.14</v>
      </c>
      <c r="CI36" s="3"/>
      <c r="CJ36" s="2">
        <v>7.7</v>
      </c>
      <c r="CK36" s="3"/>
      <c r="CL36" s="2">
        <v>353.96</v>
      </c>
      <c r="CM36" s="3"/>
      <c r="CN36" s="2">
        <v>234.31</v>
      </c>
      <c r="CO36" s="3"/>
      <c r="CP36" s="2">
        <v>536.47</v>
      </c>
      <c r="CQ36" s="3"/>
      <c r="CR36" s="2">
        <v>0</v>
      </c>
      <c r="CS36" s="3"/>
      <c r="CT36" s="2">
        <v>337.52</v>
      </c>
      <c r="CU36" s="3"/>
      <c r="CV36" s="2">
        <v>667.41</v>
      </c>
      <c r="CW36" s="3"/>
      <c r="CX36" s="2">
        <v>570.9</v>
      </c>
      <c r="CY36" s="3"/>
      <c r="CZ36" s="2">
        <v>173.23</v>
      </c>
      <c r="DA36" s="3"/>
      <c r="DB36" s="2">
        <v>290.88</v>
      </c>
      <c r="DC36" s="3"/>
      <c r="DD36" s="2">
        <v>553.23</v>
      </c>
      <c r="DE36" s="3"/>
      <c r="DF36" s="2">
        <v>173.78</v>
      </c>
      <c r="DG36" s="3"/>
      <c r="DH36" s="2">
        <v>553.95000000000005</v>
      </c>
      <c r="DI36" s="3"/>
      <c r="DJ36" s="2">
        <v>1396.26</v>
      </c>
      <c r="DK36" s="3"/>
      <c r="DL36" s="2">
        <v>2812.22</v>
      </c>
      <c r="DM36" s="3"/>
      <c r="DN36" s="2">
        <v>-174.8</v>
      </c>
      <c r="DO36" s="3"/>
      <c r="DP36" s="2">
        <v>0</v>
      </c>
      <c r="DQ36" s="3"/>
      <c r="DR36" s="2">
        <v>28.82</v>
      </c>
      <c r="DS36" s="3"/>
      <c r="DT36" s="2">
        <v>-165.16</v>
      </c>
      <c r="DU36" s="3"/>
      <c r="DV36" s="2">
        <v>812.09</v>
      </c>
      <c r="DW36" s="3"/>
      <c r="DX36" s="2">
        <v>-172</v>
      </c>
      <c r="DY36" s="3"/>
      <c r="DZ36" s="2">
        <v>19.84</v>
      </c>
      <c r="EA36" s="3"/>
      <c r="EB36" s="2">
        <v>990.78</v>
      </c>
      <c r="EC36" s="3"/>
      <c r="ED36" s="2">
        <v>-104.88</v>
      </c>
      <c r="EE36" s="3"/>
      <c r="EF36" s="2">
        <v>895.07</v>
      </c>
      <c r="EG36" s="3"/>
      <c r="EH36" s="2">
        <f t="shared" si="1"/>
        <v>27360.51</v>
      </c>
    </row>
    <row r="37" spans="1:138" x14ac:dyDescent="0.45">
      <c r="A37" s="1"/>
      <c r="B37" s="1"/>
      <c r="C37" s="1"/>
      <c r="D37" s="1"/>
      <c r="E37" s="1" t="s">
        <v>102</v>
      </c>
      <c r="F37" s="2">
        <v>460.66</v>
      </c>
      <c r="G37" s="3"/>
      <c r="H37" s="2">
        <v>87.14</v>
      </c>
      <c r="I37" s="3"/>
      <c r="J37" s="2">
        <v>240.21</v>
      </c>
      <c r="K37" s="3"/>
      <c r="L37" s="2">
        <v>600.04</v>
      </c>
      <c r="M37" s="3"/>
      <c r="N37" s="2">
        <v>602.41</v>
      </c>
      <c r="O37" s="3"/>
      <c r="P37" s="2">
        <v>509.74</v>
      </c>
      <c r="Q37" s="3"/>
      <c r="R37" s="2">
        <v>235.48</v>
      </c>
      <c r="S37" s="3"/>
      <c r="T37" s="2">
        <v>164.39</v>
      </c>
      <c r="U37" s="3"/>
      <c r="V37" s="2">
        <v>654.17999999999995</v>
      </c>
      <c r="W37" s="3"/>
      <c r="X37" s="2">
        <v>464.93</v>
      </c>
      <c r="Y37" s="3"/>
      <c r="Z37" s="2">
        <v>86.46</v>
      </c>
      <c r="AA37" s="3"/>
      <c r="AB37" s="2">
        <v>1070.7</v>
      </c>
      <c r="AC37" s="3"/>
      <c r="AD37" s="2">
        <v>769.01</v>
      </c>
      <c r="AE37" s="3"/>
      <c r="AF37" s="2">
        <v>673</v>
      </c>
      <c r="AG37" s="3"/>
      <c r="AH37" s="2">
        <v>1611.81</v>
      </c>
      <c r="AI37" s="3"/>
      <c r="AJ37" s="2">
        <v>649.37</v>
      </c>
      <c r="AK37" s="3"/>
      <c r="AL37" s="2">
        <v>128.80000000000001</v>
      </c>
      <c r="AM37" s="3"/>
      <c r="AN37" s="2">
        <v>37.200000000000003</v>
      </c>
      <c r="AO37" s="3"/>
      <c r="AP37" s="2">
        <v>142.57</v>
      </c>
      <c r="AQ37" s="3"/>
      <c r="AR37" s="2">
        <v>1141.0999999999999</v>
      </c>
      <c r="AS37" s="3"/>
      <c r="AT37" s="2">
        <v>564.51</v>
      </c>
      <c r="AU37" s="3"/>
      <c r="AV37" s="2">
        <v>386.43</v>
      </c>
      <c r="AW37" s="3"/>
      <c r="AX37" s="2">
        <v>2142.2600000000002</v>
      </c>
      <c r="AY37" s="3"/>
      <c r="AZ37" s="2">
        <v>552.87</v>
      </c>
      <c r="BA37" s="3"/>
      <c r="BB37" s="2">
        <v>-78.180000000000007</v>
      </c>
      <c r="BC37" s="3"/>
      <c r="BD37" s="2">
        <v>241.95</v>
      </c>
      <c r="BE37" s="3"/>
      <c r="BF37" s="2">
        <v>483.83</v>
      </c>
      <c r="BG37" s="3"/>
      <c r="BH37" s="2">
        <v>753.82</v>
      </c>
      <c r="BI37" s="3"/>
      <c r="BJ37" s="2">
        <v>562.01</v>
      </c>
      <c r="BK37" s="3"/>
      <c r="BL37" s="2">
        <v>485.49</v>
      </c>
      <c r="BM37" s="3"/>
      <c r="BN37" s="2">
        <v>513.61</v>
      </c>
      <c r="BO37" s="3"/>
      <c r="BP37" s="2">
        <v>974.88</v>
      </c>
      <c r="BQ37" s="3"/>
      <c r="BR37" s="2">
        <v>159.79</v>
      </c>
      <c r="BS37" s="3"/>
      <c r="BT37" s="2">
        <v>161.06</v>
      </c>
      <c r="BU37" s="3"/>
      <c r="BV37" s="2">
        <v>1365.76</v>
      </c>
      <c r="BW37" s="3"/>
      <c r="BX37" s="2">
        <v>76.86</v>
      </c>
      <c r="BY37" s="3"/>
      <c r="BZ37" s="2">
        <v>288.79000000000002</v>
      </c>
      <c r="CA37" s="3"/>
      <c r="CB37" s="2">
        <v>1204.54</v>
      </c>
      <c r="CC37" s="3"/>
      <c r="CD37" s="2">
        <v>255.64</v>
      </c>
      <c r="CE37" s="3"/>
      <c r="CF37" s="2">
        <v>232.54</v>
      </c>
      <c r="CG37" s="3"/>
      <c r="CH37" s="2">
        <v>185.84</v>
      </c>
      <c r="CI37" s="3"/>
      <c r="CJ37" s="2">
        <v>208.19</v>
      </c>
      <c r="CK37" s="3"/>
      <c r="CL37" s="2">
        <v>432.6</v>
      </c>
      <c r="CM37" s="3"/>
      <c r="CN37" s="2">
        <v>392.48</v>
      </c>
      <c r="CO37" s="3"/>
      <c r="CP37" s="2">
        <v>157.25</v>
      </c>
      <c r="CQ37" s="3"/>
      <c r="CR37" s="2">
        <v>682.8</v>
      </c>
      <c r="CS37" s="3"/>
      <c r="CT37" s="2">
        <v>431</v>
      </c>
      <c r="CU37" s="3"/>
      <c r="CV37" s="2">
        <v>742.8</v>
      </c>
      <c r="CW37" s="3"/>
      <c r="CX37" s="2">
        <v>2343</v>
      </c>
      <c r="CY37" s="3"/>
      <c r="CZ37" s="2">
        <v>523.53</v>
      </c>
      <c r="DA37" s="3"/>
      <c r="DB37" s="2">
        <v>440.2</v>
      </c>
      <c r="DC37" s="3"/>
      <c r="DD37" s="2">
        <v>707.21</v>
      </c>
      <c r="DE37" s="3"/>
      <c r="DF37" s="2">
        <v>1792.94</v>
      </c>
      <c r="DG37" s="3"/>
      <c r="DH37" s="2">
        <v>172</v>
      </c>
      <c r="DI37" s="3"/>
      <c r="DJ37" s="2">
        <v>899.71</v>
      </c>
      <c r="DK37" s="3"/>
      <c r="DL37" s="2">
        <v>437.91</v>
      </c>
      <c r="DM37" s="3"/>
      <c r="DN37" s="2">
        <v>439.18</v>
      </c>
      <c r="DO37" s="3"/>
      <c r="DP37" s="2">
        <v>432.55</v>
      </c>
      <c r="DQ37" s="3"/>
      <c r="DR37" s="2">
        <v>394.11</v>
      </c>
      <c r="DS37" s="3"/>
      <c r="DT37" s="2">
        <v>1068.5</v>
      </c>
      <c r="DU37" s="3"/>
      <c r="DV37" s="2">
        <v>1072.31</v>
      </c>
      <c r="DW37" s="3"/>
      <c r="DX37" s="2">
        <v>157.55000000000001</v>
      </c>
      <c r="DY37" s="3"/>
      <c r="DZ37" s="2">
        <v>580.48</v>
      </c>
      <c r="EA37" s="3"/>
      <c r="EB37" s="2">
        <v>173.72</v>
      </c>
      <c r="EC37" s="3"/>
      <c r="ED37" s="2">
        <v>329.07</v>
      </c>
      <c r="EE37" s="3"/>
      <c r="EF37" s="2">
        <v>367.78</v>
      </c>
      <c r="EG37" s="3"/>
      <c r="EH37" s="2">
        <f t="shared" si="1"/>
        <v>37222.370000000003</v>
      </c>
    </row>
    <row r="38" spans="1:138" x14ac:dyDescent="0.45">
      <c r="A38" s="1"/>
      <c r="B38" s="1"/>
      <c r="C38" s="1"/>
      <c r="D38" s="1"/>
      <c r="E38" s="1" t="s">
        <v>103</v>
      </c>
      <c r="F38" s="2">
        <v>76.239999999999995</v>
      </c>
      <c r="G38" s="3"/>
      <c r="H38" s="2">
        <v>0</v>
      </c>
      <c r="I38" s="3"/>
      <c r="J38" s="2">
        <v>5.39</v>
      </c>
      <c r="K38" s="3"/>
      <c r="L38" s="2">
        <v>0</v>
      </c>
      <c r="M38" s="3"/>
      <c r="N38" s="2">
        <v>0</v>
      </c>
      <c r="O38" s="3"/>
      <c r="P38" s="2">
        <v>0</v>
      </c>
      <c r="Q38" s="3"/>
      <c r="R38" s="2">
        <v>44.73</v>
      </c>
      <c r="S38" s="3"/>
      <c r="T38" s="2">
        <v>50.51</v>
      </c>
      <c r="U38" s="3"/>
      <c r="V38" s="2">
        <v>0</v>
      </c>
      <c r="W38" s="3"/>
      <c r="X38" s="2">
        <v>405.17</v>
      </c>
      <c r="Y38" s="3"/>
      <c r="Z38" s="2">
        <v>41.28</v>
      </c>
      <c r="AA38" s="3"/>
      <c r="AB38" s="2">
        <v>53.63</v>
      </c>
      <c r="AC38" s="3"/>
      <c r="AD38" s="2">
        <v>0</v>
      </c>
      <c r="AE38" s="3"/>
      <c r="AF38" s="2">
        <v>31.37</v>
      </c>
      <c r="AG38" s="3"/>
      <c r="AH38" s="2">
        <v>192.63</v>
      </c>
      <c r="AI38" s="3"/>
      <c r="AJ38" s="2">
        <v>0</v>
      </c>
      <c r="AK38" s="3"/>
      <c r="AL38" s="2">
        <v>0</v>
      </c>
      <c r="AM38" s="3"/>
      <c r="AN38" s="2">
        <v>0</v>
      </c>
      <c r="AO38" s="3"/>
      <c r="AP38" s="2">
        <v>0</v>
      </c>
      <c r="AQ38" s="3"/>
      <c r="AR38" s="2">
        <v>0</v>
      </c>
      <c r="AS38" s="3"/>
      <c r="AT38" s="2">
        <v>-58.82</v>
      </c>
      <c r="AU38" s="3"/>
      <c r="AV38" s="2">
        <v>0</v>
      </c>
      <c r="AW38" s="3"/>
      <c r="AX38" s="2">
        <v>0</v>
      </c>
      <c r="AY38" s="3"/>
      <c r="AZ38" s="2">
        <v>82.87</v>
      </c>
      <c r="BA38" s="3"/>
      <c r="BB38" s="2">
        <v>631.30999999999995</v>
      </c>
      <c r="BC38" s="3"/>
      <c r="BD38" s="2">
        <v>98.41</v>
      </c>
      <c r="BE38" s="3"/>
      <c r="BF38" s="2">
        <v>335.56</v>
      </c>
      <c r="BG38" s="3"/>
      <c r="BH38" s="2">
        <v>177.74</v>
      </c>
      <c r="BI38" s="3"/>
      <c r="BJ38" s="2">
        <v>0</v>
      </c>
      <c r="BK38" s="3"/>
      <c r="BL38" s="2">
        <v>21.13</v>
      </c>
      <c r="BM38" s="3"/>
      <c r="BN38" s="2">
        <v>0</v>
      </c>
      <c r="BO38" s="3"/>
      <c r="BP38" s="2">
        <v>0</v>
      </c>
      <c r="BQ38" s="3"/>
      <c r="BR38" s="2">
        <v>0</v>
      </c>
      <c r="BS38" s="3"/>
      <c r="BT38" s="2">
        <v>0</v>
      </c>
      <c r="BU38" s="3"/>
      <c r="BV38" s="2">
        <v>0</v>
      </c>
      <c r="BW38" s="3"/>
      <c r="BX38" s="2">
        <v>0</v>
      </c>
      <c r="BY38" s="3"/>
      <c r="BZ38" s="2">
        <v>0</v>
      </c>
      <c r="CA38" s="3"/>
      <c r="CB38" s="2">
        <v>0</v>
      </c>
      <c r="CC38" s="3"/>
      <c r="CD38" s="2">
        <v>0</v>
      </c>
      <c r="CE38" s="3"/>
      <c r="CF38" s="2">
        <v>0</v>
      </c>
      <c r="CG38" s="3"/>
      <c r="CH38" s="2">
        <v>0</v>
      </c>
      <c r="CI38" s="3"/>
      <c r="CJ38" s="2">
        <v>0</v>
      </c>
      <c r="CK38" s="3"/>
      <c r="CL38" s="2">
        <v>0</v>
      </c>
      <c r="CM38" s="3"/>
      <c r="CN38" s="2">
        <v>0</v>
      </c>
      <c r="CO38" s="3"/>
      <c r="CP38" s="2">
        <v>0</v>
      </c>
      <c r="CQ38" s="3"/>
      <c r="CR38" s="2">
        <v>0</v>
      </c>
      <c r="CS38" s="3"/>
      <c r="CT38" s="2">
        <v>0</v>
      </c>
      <c r="CU38" s="3"/>
      <c r="CV38" s="2">
        <v>0</v>
      </c>
      <c r="CW38" s="3"/>
      <c r="CX38" s="2">
        <v>0</v>
      </c>
      <c r="CY38" s="3"/>
      <c r="CZ38" s="2">
        <v>0</v>
      </c>
      <c r="DA38" s="3"/>
      <c r="DB38" s="2">
        <v>0</v>
      </c>
      <c r="DC38" s="3"/>
      <c r="DD38" s="2">
        <v>0</v>
      </c>
      <c r="DE38" s="3"/>
      <c r="DF38" s="2">
        <v>0</v>
      </c>
      <c r="DG38" s="3"/>
      <c r="DH38" s="2">
        <v>0</v>
      </c>
      <c r="DI38" s="3"/>
      <c r="DJ38" s="2">
        <v>0</v>
      </c>
      <c r="DK38" s="3"/>
      <c r="DL38" s="2">
        <v>0</v>
      </c>
      <c r="DM38" s="3"/>
      <c r="DN38" s="2">
        <v>0</v>
      </c>
      <c r="DO38" s="3"/>
      <c r="DP38" s="2">
        <v>0</v>
      </c>
      <c r="DQ38" s="3"/>
      <c r="DR38" s="2">
        <v>0</v>
      </c>
      <c r="DS38" s="3"/>
      <c r="DT38" s="2">
        <v>0</v>
      </c>
      <c r="DU38" s="3"/>
      <c r="DV38" s="2">
        <v>0</v>
      </c>
      <c r="DW38" s="3"/>
      <c r="DX38" s="2">
        <v>0</v>
      </c>
      <c r="DY38" s="3"/>
      <c r="DZ38" s="2">
        <v>0</v>
      </c>
      <c r="EA38" s="3"/>
      <c r="EB38" s="2">
        <v>0</v>
      </c>
      <c r="EC38" s="3"/>
      <c r="ED38" s="2">
        <v>0</v>
      </c>
      <c r="EE38" s="3"/>
      <c r="EF38" s="2">
        <v>0</v>
      </c>
      <c r="EG38" s="3"/>
      <c r="EH38" s="2">
        <f t="shared" si="1"/>
        <v>2189.15</v>
      </c>
    </row>
    <row r="39" spans="1:138" x14ac:dyDescent="0.45">
      <c r="A39" s="1"/>
      <c r="B39" s="1"/>
      <c r="C39" s="1"/>
      <c r="D39" s="1"/>
      <c r="E39" s="1" t="s">
        <v>104</v>
      </c>
      <c r="F39" s="2">
        <v>-293.33</v>
      </c>
      <c r="G39" s="3"/>
      <c r="H39" s="2">
        <v>0</v>
      </c>
      <c r="I39" s="3"/>
      <c r="J39" s="2">
        <v>1026.9000000000001</v>
      </c>
      <c r="K39" s="3"/>
      <c r="L39" s="2">
        <v>11.11</v>
      </c>
      <c r="M39" s="3"/>
      <c r="N39" s="2">
        <v>4258.75</v>
      </c>
      <c r="O39" s="3"/>
      <c r="P39" s="2">
        <v>3377.85</v>
      </c>
      <c r="Q39" s="3"/>
      <c r="R39" s="2">
        <v>2079.7800000000002</v>
      </c>
      <c r="S39" s="3"/>
      <c r="T39" s="2">
        <v>377.61</v>
      </c>
      <c r="U39" s="3"/>
      <c r="V39" s="2">
        <v>234.16</v>
      </c>
      <c r="W39" s="3"/>
      <c r="X39" s="2">
        <v>3194.18</v>
      </c>
      <c r="Y39" s="3"/>
      <c r="Z39" s="2">
        <v>1911.76</v>
      </c>
      <c r="AA39" s="3"/>
      <c r="AB39" s="2">
        <v>1571.44</v>
      </c>
      <c r="AC39" s="3"/>
      <c r="AD39" s="2">
        <v>1032.21</v>
      </c>
      <c r="AE39" s="3"/>
      <c r="AF39" s="2">
        <v>61</v>
      </c>
      <c r="AG39" s="3"/>
      <c r="AH39" s="2">
        <v>4693.3100000000004</v>
      </c>
      <c r="AI39" s="3"/>
      <c r="AJ39" s="2">
        <v>1397.47</v>
      </c>
      <c r="AK39" s="3"/>
      <c r="AL39" s="2">
        <v>6</v>
      </c>
      <c r="AM39" s="3"/>
      <c r="AN39" s="2">
        <v>81.16</v>
      </c>
      <c r="AO39" s="3"/>
      <c r="AP39" s="2">
        <v>2956.32</v>
      </c>
      <c r="AQ39" s="3"/>
      <c r="AR39" s="2">
        <v>6761.19</v>
      </c>
      <c r="AS39" s="3"/>
      <c r="AT39" s="2">
        <v>8025.43</v>
      </c>
      <c r="AU39" s="3"/>
      <c r="AV39" s="2">
        <v>3398.03</v>
      </c>
      <c r="AW39" s="3"/>
      <c r="AX39" s="2">
        <v>2213.37</v>
      </c>
      <c r="AY39" s="3"/>
      <c r="AZ39" s="2">
        <v>525.17999999999995</v>
      </c>
      <c r="BA39" s="3"/>
      <c r="BB39" s="2">
        <v>25.08</v>
      </c>
      <c r="BC39" s="3"/>
      <c r="BD39" s="2">
        <v>1630.14</v>
      </c>
      <c r="BE39" s="3"/>
      <c r="BF39" s="2">
        <v>7263.32</v>
      </c>
      <c r="BG39" s="3"/>
      <c r="BH39" s="2">
        <v>4612.4399999999996</v>
      </c>
      <c r="BI39" s="3"/>
      <c r="BJ39" s="2">
        <v>3701.63</v>
      </c>
      <c r="BK39" s="3"/>
      <c r="BL39" s="2">
        <v>6062.05</v>
      </c>
      <c r="BM39" s="3"/>
      <c r="BN39" s="2">
        <v>491.27</v>
      </c>
      <c r="BO39" s="3"/>
      <c r="BP39" s="2">
        <v>3345.86</v>
      </c>
      <c r="BQ39" s="3"/>
      <c r="BR39" s="2">
        <v>647.98</v>
      </c>
      <c r="BS39" s="3"/>
      <c r="BT39" s="2">
        <v>6336.28</v>
      </c>
      <c r="BU39" s="3"/>
      <c r="BV39" s="2">
        <v>3220.85</v>
      </c>
      <c r="BW39" s="3"/>
      <c r="BX39" s="2">
        <v>1232.1600000000001</v>
      </c>
      <c r="BY39" s="3"/>
      <c r="BZ39" s="2">
        <v>10612.65</v>
      </c>
      <c r="CA39" s="3"/>
      <c r="CB39" s="2">
        <v>3103.02</v>
      </c>
      <c r="CC39" s="3"/>
      <c r="CD39" s="2">
        <v>4487.8599999999997</v>
      </c>
      <c r="CE39" s="3"/>
      <c r="CF39" s="2">
        <v>10637.27</v>
      </c>
      <c r="CG39" s="3"/>
      <c r="CH39" s="2">
        <v>6365.95</v>
      </c>
      <c r="CI39" s="3"/>
      <c r="CJ39" s="2">
        <v>7810.21</v>
      </c>
      <c r="CK39" s="3"/>
      <c r="CL39" s="2">
        <v>7327.76</v>
      </c>
      <c r="CM39" s="3"/>
      <c r="CN39" s="2">
        <v>6118.88</v>
      </c>
      <c r="CO39" s="3"/>
      <c r="CP39" s="2">
        <v>5322.39</v>
      </c>
      <c r="CQ39" s="3"/>
      <c r="CR39" s="2">
        <v>4497.96</v>
      </c>
      <c r="CS39" s="3"/>
      <c r="CT39" s="2">
        <v>965.42</v>
      </c>
      <c r="CU39" s="3"/>
      <c r="CV39" s="2">
        <v>1640.03</v>
      </c>
      <c r="CW39" s="3"/>
      <c r="CX39" s="2">
        <v>6644.81</v>
      </c>
      <c r="CY39" s="3"/>
      <c r="CZ39" s="2">
        <v>11354.54</v>
      </c>
      <c r="DA39" s="3"/>
      <c r="DB39" s="2">
        <v>2926.15</v>
      </c>
      <c r="DC39" s="3"/>
      <c r="DD39" s="2">
        <v>2384.37</v>
      </c>
      <c r="DE39" s="3"/>
      <c r="DF39" s="2">
        <v>4666.5</v>
      </c>
      <c r="DG39" s="3"/>
      <c r="DH39" s="2">
        <v>8278.5400000000009</v>
      </c>
      <c r="DI39" s="3"/>
      <c r="DJ39" s="2">
        <v>3290.74</v>
      </c>
      <c r="DK39" s="3"/>
      <c r="DL39" s="2">
        <v>3523.7</v>
      </c>
      <c r="DM39" s="3"/>
      <c r="DN39" s="2">
        <v>4001.5</v>
      </c>
      <c r="DO39" s="3"/>
      <c r="DP39" s="2">
        <v>1678.67</v>
      </c>
      <c r="DQ39" s="3"/>
      <c r="DR39" s="2">
        <v>2556.1799999999998</v>
      </c>
      <c r="DS39" s="3"/>
      <c r="DT39" s="2">
        <v>573.79</v>
      </c>
      <c r="DU39" s="3"/>
      <c r="DV39" s="2">
        <v>941.39</v>
      </c>
      <c r="DW39" s="3"/>
      <c r="DX39" s="2">
        <v>1952.34</v>
      </c>
      <c r="DY39" s="3"/>
      <c r="DZ39" s="2">
        <v>2523.1999999999998</v>
      </c>
      <c r="EA39" s="3"/>
      <c r="EB39" s="2">
        <v>125.09</v>
      </c>
      <c r="EC39" s="3"/>
      <c r="ED39" s="2">
        <v>3468.76</v>
      </c>
      <c r="EE39" s="3"/>
      <c r="EF39" s="2">
        <v>5645.54</v>
      </c>
      <c r="EG39" s="3"/>
      <c r="EH39" s="2">
        <f t="shared" si="1"/>
        <v>222895.15</v>
      </c>
    </row>
    <row r="40" spans="1:138" x14ac:dyDescent="0.45">
      <c r="A40" s="1"/>
      <c r="B40" s="1"/>
      <c r="C40" s="1"/>
      <c r="D40" s="1"/>
      <c r="E40" s="1" t="s">
        <v>105</v>
      </c>
      <c r="F40" s="2">
        <v>0</v>
      </c>
      <c r="G40" s="3"/>
      <c r="H40" s="2">
        <v>0</v>
      </c>
      <c r="I40" s="3"/>
      <c r="J40" s="2">
        <v>0</v>
      </c>
      <c r="K40" s="3"/>
      <c r="L40" s="2">
        <v>0</v>
      </c>
      <c r="M40" s="3"/>
      <c r="N40" s="2">
        <v>10.78</v>
      </c>
      <c r="O40" s="3"/>
      <c r="P40" s="2">
        <v>41.92</v>
      </c>
      <c r="Q40" s="3"/>
      <c r="R40" s="2">
        <v>0</v>
      </c>
      <c r="S40" s="3"/>
      <c r="T40" s="2">
        <v>0</v>
      </c>
      <c r="U40" s="3"/>
      <c r="V40" s="2">
        <v>477.58</v>
      </c>
      <c r="W40" s="3"/>
      <c r="X40" s="2">
        <v>159.80000000000001</v>
      </c>
      <c r="Y40" s="3"/>
      <c r="Z40" s="2">
        <v>659.13</v>
      </c>
      <c r="AA40" s="3"/>
      <c r="AB40" s="2">
        <v>0</v>
      </c>
      <c r="AC40" s="3"/>
      <c r="AD40" s="2">
        <v>0</v>
      </c>
      <c r="AE40" s="3"/>
      <c r="AF40" s="2">
        <v>0</v>
      </c>
      <c r="AG40" s="3"/>
      <c r="AH40" s="2">
        <v>0</v>
      </c>
      <c r="AI40" s="3"/>
      <c r="AJ40" s="2">
        <v>0</v>
      </c>
      <c r="AK40" s="3"/>
      <c r="AL40" s="2">
        <v>0</v>
      </c>
      <c r="AM40" s="3"/>
      <c r="AN40" s="2">
        <v>0</v>
      </c>
      <c r="AO40" s="3"/>
      <c r="AP40" s="2">
        <v>-0.84</v>
      </c>
      <c r="AQ40" s="3"/>
      <c r="AR40" s="2">
        <v>564.77</v>
      </c>
      <c r="AS40" s="3"/>
      <c r="AT40" s="2">
        <v>490.78</v>
      </c>
      <c r="AU40" s="3"/>
      <c r="AV40" s="2">
        <v>40</v>
      </c>
      <c r="AW40" s="3"/>
      <c r="AX40" s="2">
        <v>314.08999999999997</v>
      </c>
      <c r="AY40" s="3"/>
      <c r="AZ40" s="2">
        <v>190.47</v>
      </c>
      <c r="BA40" s="3"/>
      <c r="BB40" s="2">
        <v>0</v>
      </c>
      <c r="BC40" s="3"/>
      <c r="BD40" s="2">
        <v>757.68</v>
      </c>
      <c r="BE40" s="3"/>
      <c r="BF40" s="2">
        <v>74.87</v>
      </c>
      <c r="BG40" s="3"/>
      <c r="BH40" s="2">
        <v>19.98</v>
      </c>
      <c r="BI40" s="3"/>
      <c r="BJ40" s="2">
        <v>1056.5899999999999</v>
      </c>
      <c r="BK40" s="3"/>
      <c r="BL40" s="2">
        <v>50.04</v>
      </c>
      <c r="BM40" s="3"/>
      <c r="BN40" s="2">
        <v>0</v>
      </c>
      <c r="BO40" s="3"/>
      <c r="BP40" s="2">
        <v>0</v>
      </c>
      <c r="BQ40" s="3"/>
      <c r="BR40" s="2">
        <v>83.97</v>
      </c>
      <c r="BS40" s="3"/>
      <c r="BT40" s="2">
        <v>152.80000000000001</v>
      </c>
      <c r="BU40" s="3"/>
      <c r="BV40" s="2">
        <v>0</v>
      </c>
      <c r="BW40" s="3"/>
      <c r="BX40" s="2">
        <v>0</v>
      </c>
      <c r="BY40" s="3"/>
      <c r="BZ40" s="2">
        <v>67.22</v>
      </c>
      <c r="CA40" s="3"/>
      <c r="CB40" s="2">
        <v>50</v>
      </c>
      <c r="CC40" s="3"/>
      <c r="CD40" s="2">
        <v>247.48</v>
      </c>
      <c r="CE40" s="3"/>
      <c r="CF40" s="2">
        <v>120.06</v>
      </c>
      <c r="CG40" s="3"/>
      <c r="CH40" s="2">
        <v>114.84</v>
      </c>
      <c r="CI40" s="3"/>
      <c r="CJ40" s="2">
        <v>93.54</v>
      </c>
      <c r="CK40" s="3"/>
      <c r="CL40" s="2">
        <v>65.2</v>
      </c>
      <c r="CM40" s="3"/>
      <c r="CN40" s="2">
        <v>37.880000000000003</v>
      </c>
      <c r="CO40" s="3"/>
      <c r="CP40" s="2">
        <v>32.14</v>
      </c>
      <c r="CQ40" s="3"/>
      <c r="CR40" s="2">
        <v>80</v>
      </c>
      <c r="CS40" s="3"/>
      <c r="CT40" s="2">
        <v>80.14</v>
      </c>
      <c r="CU40" s="3"/>
      <c r="CV40" s="2">
        <v>0</v>
      </c>
      <c r="CW40" s="3"/>
      <c r="CX40" s="2">
        <v>16.64</v>
      </c>
      <c r="CY40" s="3"/>
      <c r="CZ40" s="2">
        <v>114</v>
      </c>
      <c r="DA40" s="3"/>
      <c r="DB40" s="2">
        <v>30</v>
      </c>
      <c r="DC40" s="3"/>
      <c r="DD40" s="2">
        <v>500</v>
      </c>
      <c r="DE40" s="3"/>
      <c r="DF40" s="2">
        <v>0</v>
      </c>
      <c r="DG40" s="3"/>
      <c r="DH40" s="2">
        <v>0</v>
      </c>
      <c r="DI40" s="3"/>
      <c r="DJ40" s="2">
        <v>893.21</v>
      </c>
      <c r="DK40" s="3"/>
      <c r="DL40" s="2">
        <v>0</v>
      </c>
      <c r="DM40" s="3"/>
      <c r="DN40" s="2">
        <v>0</v>
      </c>
      <c r="DO40" s="3"/>
      <c r="DP40" s="2">
        <v>0</v>
      </c>
      <c r="DQ40" s="3"/>
      <c r="DR40" s="2">
        <v>0</v>
      </c>
      <c r="DS40" s="3"/>
      <c r="DT40" s="2">
        <v>0</v>
      </c>
      <c r="DU40" s="3"/>
      <c r="DV40" s="2">
        <v>0</v>
      </c>
      <c r="DW40" s="3"/>
      <c r="DX40" s="2">
        <v>0</v>
      </c>
      <c r="DY40" s="3"/>
      <c r="DZ40" s="2">
        <v>0</v>
      </c>
      <c r="EA40" s="3"/>
      <c r="EB40" s="2">
        <v>0</v>
      </c>
      <c r="EC40" s="3"/>
      <c r="ED40" s="2">
        <v>0</v>
      </c>
      <c r="EE40" s="3"/>
      <c r="EF40" s="2">
        <v>0</v>
      </c>
      <c r="EG40" s="3"/>
      <c r="EH40" s="2">
        <f t="shared" si="1"/>
        <v>7686.76</v>
      </c>
    </row>
    <row r="41" spans="1:138" x14ac:dyDescent="0.45">
      <c r="A41" s="1"/>
      <c r="B41" s="1"/>
      <c r="C41" s="1"/>
      <c r="D41" s="1"/>
      <c r="E41" s="1" t="s">
        <v>106</v>
      </c>
      <c r="F41" s="2">
        <v>1143.07</v>
      </c>
      <c r="G41" s="3"/>
      <c r="H41" s="2">
        <v>770.11</v>
      </c>
      <c r="I41" s="3"/>
      <c r="J41" s="2">
        <v>782.05</v>
      </c>
      <c r="K41" s="3"/>
      <c r="L41" s="2">
        <v>1460.56</v>
      </c>
      <c r="M41" s="3"/>
      <c r="N41" s="2">
        <v>782.05</v>
      </c>
      <c r="O41" s="3"/>
      <c r="P41" s="2">
        <v>1215.47</v>
      </c>
      <c r="Q41" s="3"/>
      <c r="R41" s="2">
        <v>787.81</v>
      </c>
      <c r="S41" s="3"/>
      <c r="T41" s="2">
        <v>273.18</v>
      </c>
      <c r="U41" s="3"/>
      <c r="V41" s="2">
        <v>1220.67</v>
      </c>
      <c r="W41" s="3"/>
      <c r="X41" s="2">
        <v>1590.3</v>
      </c>
      <c r="Y41" s="3"/>
      <c r="Z41" s="2">
        <v>1239.68</v>
      </c>
      <c r="AA41" s="3"/>
      <c r="AB41" s="2">
        <v>1149.73</v>
      </c>
      <c r="AC41" s="3"/>
      <c r="AD41" s="2">
        <v>903.62</v>
      </c>
      <c r="AE41" s="3"/>
      <c r="AF41" s="2">
        <v>918.06</v>
      </c>
      <c r="AG41" s="3"/>
      <c r="AH41" s="2">
        <v>1415.58</v>
      </c>
      <c r="AI41" s="3"/>
      <c r="AJ41" s="2">
        <v>974.91</v>
      </c>
      <c r="AK41" s="3"/>
      <c r="AL41" s="2">
        <v>473.39</v>
      </c>
      <c r="AM41" s="3"/>
      <c r="AN41" s="2">
        <v>996.1</v>
      </c>
      <c r="AO41" s="3"/>
      <c r="AP41" s="2">
        <v>1003.8</v>
      </c>
      <c r="AQ41" s="3"/>
      <c r="AR41" s="2">
        <v>2478.56</v>
      </c>
      <c r="AS41" s="3"/>
      <c r="AT41" s="2">
        <v>1983.18</v>
      </c>
      <c r="AU41" s="3"/>
      <c r="AV41" s="2">
        <v>0</v>
      </c>
      <c r="AW41" s="3"/>
      <c r="AX41" s="2">
        <v>1703.94</v>
      </c>
      <c r="AY41" s="3"/>
      <c r="AZ41" s="2">
        <v>973.85</v>
      </c>
      <c r="BA41" s="3"/>
      <c r="BB41" s="2">
        <v>475.15</v>
      </c>
      <c r="BC41" s="3"/>
      <c r="BD41" s="2">
        <v>2410.54</v>
      </c>
      <c r="BE41" s="3"/>
      <c r="BF41" s="2">
        <v>45.01</v>
      </c>
      <c r="BG41" s="3"/>
      <c r="BH41" s="2">
        <v>1011.34</v>
      </c>
      <c r="BI41" s="3"/>
      <c r="BJ41" s="2">
        <v>2388.8200000000002</v>
      </c>
      <c r="BK41" s="3"/>
      <c r="BL41" s="2">
        <v>0</v>
      </c>
      <c r="BM41" s="3"/>
      <c r="BN41" s="2">
        <v>978.35</v>
      </c>
      <c r="BO41" s="3"/>
      <c r="BP41" s="2">
        <v>1385.62</v>
      </c>
      <c r="BQ41" s="3"/>
      <c r="BR41" s="2">
        <v>2067.7600000000002</v>
      </c>
      <c r="BS41" s="3"/>
      <c r="BT41" s="2">
        <v>404.31</v>
      </c>
      <c r="BU41" s="3"/>
      <c r="BV41" s="2">
        <v>1027.7</v>
      </c>
      <c r="BW41" s="3"/>
      <c r="BX41" s="2">
        <v>1011.55</v>
      </c>
      <c r="BY41" s="3"/>
      <c r="BZ41" s="2">
        <v>1055.73</v>
      </c>
      <c r="CA41" s="3"/>
      <c r="CB41" s="2">
        <v>1455.65</v>
      </c>
      <c r="CC41" s="3"/>
      <c r="CD41" s="2">
        <v>1235.69</v>
      </c>
      <c r="CE41" s="3"/>
      <c r="CF41" s="2">
        <v>2697.48</v>
      </c>
      <c r="CG41" s="3"/>
      <c r="CH41" s="2">
        <v>3025</v>
      </c>
      <c r="CI41" s="3"/>
      <c r="CJ41" s="2">
        <v>862.38</v>
      </c>
      <c r="CK41" s="3"/>
      <c r="CL41" s="2">
        <v>2311.73</v>
      </c>
      <c r="CM41" s="3"/>
      <c r="CN41" s="2">
        <v>209.3</v>
      </c>
      <c r="CO41" s="3"/>
      <c r="CP41" s="2">
        <v>1043.5999999999999</v>
      </c>
      <c r="CQ41" s="3"/>
      <c r="CR41" s="2">
        <v>1039.98</v>
      </c>
      <c r="CS41" s="3"/>
      <c r="CT41" s="2">
        <v>1433.18</v>
      </c>
      <c r="CU41" s="3"/>
      <c r="CV41" s="2">
        <v>2078.9499999999998</v>
      </c>
      <c r="CW41" s="3"/>
      <c r="CX41" s="2">
        <v>76.75</v>
      </c>
      <c r="CY41" s="3"/>
      <c r="CZ41" s="2">
        <v>1107.51</v>
      </c>
      <c r="DA41" s="3"/>
      <c r="DB41" s="2">
        <v>2680.58</v>
      </c>
      <c r="DC41" s="3"/>
      <c r="DD41" s="2">
        <v>2220.92</v>
      </c>
      <c r="DE41" s="3"/>
      <c r="DF41" s="2">
        <v>455.53</v>
      </c>
      <c r="DG41" s="3"/>
      <c r="DH41" s="2">
        <v>0</v>
      </c>
      <c r="DI41" s="3"/>
      <c r="DJ41" s="2">
        <v>1058.8599999999999</v>
      </c>
      <c r="DK41" s="3"/>
      <c r="DL41" s="2">
        <v>1110.8399999999999</v>
      </c>
      <c r="DM41" s="3"/>
      <c r="DN41" s="2">
        <v>1573.78</v>
      </c>
      <c r="DO41" s="3"/>
      <c r="DP41" s="2">
        <v>1106.6600000000001</v>
      </c>
      <c r="DQ41" s="3"/>
      <c r="DR41" s="2">
        <v>1402.04</v>
      </c>
      <c r="DS41" s="3"/>
      <c r="DT41" s="2">
        <v>2218.92</v>
      </c>
      <c r="DU41" s="3"/>
      <c r="DV41" s="2">
        <v>0</v>
      </c>
      <c r="DW41" s="3"/>
      <c r="DX41" s="2">
        <v>3475.48</v>
      </c>
      <c r="DY41" s="3"/>
      <c r="DZ41" s="2">
        <v>504.3</v>
      </c>
      <c r="EA41" s="3"/>
      <c r="EB41" s="2">
        <v>28.75</v>
      </c>
      <c r="EC41" s="3"/>
      <c r="ED41" s="2">
        <v>1229.67</v>
      </c>
      <c r="EE41" s="3"/>
      <c r="EF41" s="2">
        <v>1231.47</v>
      </c>
      <c r="EG41" s="3"/>
      <c r="EH41" s="2">
        <f t="shared" si="1"/>
        <v>79376.55</v>
      </c>
    </row>
    <row r="42" spans="1:138" x14ac:dyDescent="0.45">
      <c r="A42" s="1"/>
      <c r="B42" s="1"/>
      <c r="C42" s="1"/>
      <c r="D42" s="1"/>
      <c r="E42" s="1" t="s">
        <v>107</v>
      </c>
      <c r="F42" s="2">
        <v>83.8</v>
      </c>
      <c r="G42" s="3"/>
      <c r="H42" s="2">
        <v>0</v>
      </c>
      <c r="I42" s="3"/>
      <c r="J42" s="2">
        <v>142.35</v>
      </c>
      <c r="K42" s="3"/>
      <c r="L42" s="2">
        <v>0</v>
      </c>
      <c r="M42" s="3"/>
      <c r="N42" s="2">
        <v>132.78</v>
      </c>
      <c r="O42" s="3"/>
      <c r="P42" s="2">
        <v>0</v>
      </c>
      <c r="Q42" s="3"/>
      <c r="R42" s="2">
        <v>93.19</v>
      </c>
      <c r="S42" s="3"/>
      <c r="T42" s="2">
        <v>29.39</v>
      </c>
      <c r="U42" s="3"/>
      <c r="V42" s="2">
        <v>65</v>
      </c>
      <c r="W42" s="3"/>
      <c r="X42" s="2">
        <v>33.96</v>
      </c>
      <c r="Y42" s="3"/>
      <c r="Z42" s="2">
        <v>70.2</v>
      </c>
      <c r="AA42" s="3"/>
      <c r="AB42" s="2">
        <v>0</v>
      </c>
      <c r="AC42" s="3"/>
      <c r="AD42" s="2">
        <v>139.35</v>
      </c>
      <c r="AE42" s="3"/>
      <c r="AF42" s="2">
        <v>58.55</v>
      </c>
      <c r="AG42" s="3"/>
      <c r="AH42" s="2">
        <v>91</v>
      </c>
      <c r="AI42" s="3"/>
      <c r="AJ42" s="2">
        <v>0</v>
      </c>
      <c r="AK42" s="3"/>
      <c r="AL42" s="2">
        <v>149.55000000000001</v>
      </c>
      <c r="AM42" s="3"/>
      <c r="AN42" s="2">
        <v>0</v>
      </c>
      <c r="AO42" s="3"/>
      <c r="AP42" s="2">
        <v>97.13</v>
      </c>
      <c r="AQ42" s="3"/>
      <c r="AR42" s="2">
        <v>0</v>
      </c>
      <c r="AS42" s="3"/>
      <c r="AT42" s="2">
        <v>91.43</v>
      </c>
      <c r="AU42" s="3"/>
      <c r="AV42" s="2">
        <v>0</v>
      </c>
      <c r="AW42" s="3"/>
      <c r="AX42" s="2">
        <v>133.59</v>
      </c>
      <c r="AY42" s="3"/>
      <c r="AZ42" s="2">
        <v>518.84</v>
      </c>
      <c r="BA42" s="3"/>
      <c r="BB42" s="2">
        <v>833.5</v>
      </c>
      <c r="BC42" s="3"/>
      <c r="BD42" s="2">
        <v>720.82</v>
      </c>
      <c r="BE42" s="3"/>
      <c r="BF42" s="2">
        <v>736.54</v>
      </c>
      <c r="BG42" s="3"/>
      <c r="BH42" s="2">
        <v>536.14</v>
      </c>
      <c r="BI42" s="3"/>
      <c r="BJ42" s="2">
        <v>431.99</v>
      </c>
      <c r="BK42" s="3"/>
      <c r="BL42" s="2">
        <v>95.8</v>
      </c>
      <c r="BM42" s="3"/>
      <c r="BN42" s="2">
        <v>153.19</v>
      </c>
      <c r="BO42" s="3"/>
      <c r="BP42" s="2">
        <v>99.05</v>
      </c>
      <c r="BQ42" s="3"/>
      <c r="BR42" s="2">
        <v>182.27</v>
      </c>
      <c r="BS42" s="3"/>
      <c r="BT42" s="2">
        <v>67.36</v>
      </c>
      <c r="BU42" s="3"/>
      <c r="BV42" s="2">
        <v>445.36</v>
      </c>
      <c r="BW42" s="3"/>
      <c r="BX42" s="2">
        <v>575.78</v>
      </c>
      <c r="BY42" s="3"/>
      <c r="BZ42" s="2">
        <v>1353.87</v>
      </c>
      <c r="CA42" s="3"/>
      <c r="CB42" s="2">
        <v>973.09</v>
      </c>
      <c r="CC42" s="3"/>
      <c r="CD42" s="2">
        <v>769.37</v>
      </c>
      <c r="CE42" s="3"/>
      <c r="CF42" s="2">
        <v>612.16999999999996</v>
      </c>
      <c r="CG42" s="3"/>
      <c r="CH42" s="2">
        <v>468.85</v>
      </c>
      <c r="CI42" s="3"/>
      <c r="CJ42" s="2">
        <v>92.94</v>
      </c>
      <c r="CK42" s="3"/>
      <c r="CL42" s="2">
        <v>168.71</v>
      </c>
      <c r="CM42" s="3"/>
      <c r="CN42" s="2">
        <v>63.73</v>
      </c>
      <c r="CO42" s="3"/>
      <c r="CP42" s="2">
        <v>172.05</v>
      </c>
      <c r="CQ42" s="3"/>
      <c r="CR42" s="2">
        <v>65.22</v>
      </c>
      <c r="CS42" s="3"/>
      <c r="CT42" s="2">
        <v>362.25</v>
      </c>
      <c r="CU42" s="3"/>
      <c r="CV42" s="2">
        <v>622.55999999999995</v>
      </c>
      <c r="CW42" s="3"/>
      <c r="CX42" s="2">
        <v>1008.24</v>
      </c>
      <c r="CY42" s="3"/>
      <c r="CZ42" s="2">
        <v>1137.93</v>
      </c>
      <c r="DA42" s="3"/>
      <c r="DB42" s="2">
        <v>963.99</v>
      </c>
      <c r="DC42" s="3"/>
      <c r="DD42" s="2">
        <v>549.97</v>
      </c>
      <c r="DE42" s="3"/>
      <c r="DF42" s="2">
        <v>511.3</v>
      </c>
      <c r="DG42" s="3"/>
      <c r="DH42" s="2">
        <v>191.14</v>
      </c>
      <c r="DI42" s="3"/>
      <c r="DJ42" s="2">
        <v>73.58</v>
      </c>
      <c r="DK42" s="3"/>
      <c r="DL42" s="2">
        <v>70.849999999999994</v>
      </c>
      <c r="DM42" s="3"/>
      <c r="DN42" s="2">
        <v>266.56</v>
      </c>
      <c r="DO42" s="3"/>
      <c r="DP42" s="2">
        <v>162.63</v>
      </c>
      <c r="DQ42" s="3"/>
      <c r="DR42" s="2">
        <v>349.25</v>
      </c>
      <c r="DS42" s="3"/>
      <c r="DT42" s="2">
        <v>637.23</v>
      </c>
      <c r="DU42" s="3"/>
      <c r="DV42" s="2">
        <v>2384.9699999999998</v>
      </c>
      <c r="DW42" s="3"/>
      <c r="DX42" s="2">
        <v>2358.5</v>
      </c>
      <c r="DY42" s="3"/>
      <c r="DZ42" s="2">
        <v>1968.45</v>
      </c>
      <c r="EA42" s="3"/>
      <c r="EB42" s="2">
        <v>1763.65</v>
      </c>
      <c r="EC42" s="3"/>
      <c r="ED42" s="2">
        <v>859.53</v>
      </c>
      <c r="EE42" s="3"/>
      <c r="EF42" s="2">
        <v>2064.98</v>
      </c>
      <c r="EG42" s="3"/>
      <c r="EH42" s="2">
        <f t="shared" si="1"/>
        <v>29855.47</v>
      </c>
    </row>
    <row r="43" spans="1:138" ht="14.65" thickBot="1" x14ac:dyDescent="0.5">
      <c r="A43" s="1"/>
      <c r="B43" s="1"/>
      <c r="C43" s="1"/>
      <c r="D43" s="1"/>
      <c r="E43" s="1" t="s">
        <v>108</v>
      </c>
      <c r="F43" s="2">
        <v>0</v>
      </c>
      <c r="G43" s="3"/>
      <c r="H43" s="2">
        <v>0</v>
      </c>
      <c r="I43" s="3"/>
      <c r="J43" s="2">
        <v>0</v>
      </c>
      <c r="K43" s="3"/>
      <c r="L43" s="2">
        <v>0</v>
      </c>
      <c r="M43" s="3"/>
      <c r="N43" s="2">
        <v>0</v>
      </c>
      <c r="O43" s="3"/>
      <c r="P43" s="2">
        <v>347.99</v>
      </c>
      <c r="Q43" s="3"/>
      <c r="R43" s="2">
        <v>0</v>
      </c>
      <c r="S43" s="3"/>
      <c r="T43" s="2">
        <v>0</v>
      </c>
      <c r="U43" s="3"/>
      <c r="V43" s="2">
        <v>0</v>
      </c>
      <c r="W43" s="3"/>
      <c r="X43" s="2">
        <v>0</v>
      </c>
      <c r="Y43" s="3"/>
      <c r="Z43" s="2">
        <v>0</v>
      </c>
      <c r="AA43" s="3"/>
      <c r="AB43" s="2">
        <v>0</v>
      </c>
      <c r="AC43" s="3"/>
      <c r="AD43" s="2">
        <v>0</v>
      </c>
      <c r="AE43" s="3"/>
      <c r="AF43" s="2">
        <v>0</v>
      </c>
      <c r="AG43" s="3"/>
      <c r="AH43" s="2">
        <v>0</v>
      </c>
      <c r="AI43" s="3"/>
      <c r="AJ43" s="2">
        <v>0</v>
      </c>
      <c r="AK43" s="3"/>
      <c r="AL43" s="2">
        <v>0</v>
      </c>
      <c r="AM43" s="3"/>
      <c r="AN43" s="2">
        <v>0</v>
      </c>
      <c r="AO43" s="3"/>
      <c r="AP43" s="2">
        <v>0</v>
      </c>
      <c r="AQ43" s="3"/>
      <c r="AR43" s="2">
        <v>0</v>
      </c>
      <c r="AS43" s="3"/>
      <c r="AT43" s="2">
        <v>0</v>
      </c>
      <c r="AU43" s="3"/>
      <c r="AV43" s="2">
        <v>0</v>
      </c>
      <c r="AW43" s="3"/>
      <c r="AX43" s="2">
        <v>0</v>
      </c>
      <c r="AY43" s="3"/>
      <c r="AZ43" s="2">
        <v>0</v>
      </c>
      <c r="BA43" s="3"/>
      <c r="BB43" s="2">
        <v>0</v>
      </c>
      <c r="BC43" s="3"/>
      <c r="BD43" s="2">
        <v>0</v>
      </c>
      <c r="BE43" s="3"/>
      <c r="BF43" s="2">
        <v>0</v>
      </c>
      <c r="BG43" s="3"/>
      <c r="BH43" s="2">
        <v>0</v>
      </c>
      <c r="BI43" s="3"/>
      <c r="BJ43" s="2">
        <v>0</v>
      </c>
      <c r="BK43" s="3"/>
      <c r="BL43" s="2">
        <v>32.49</v>
      </c>
      <c r="BM43" s="3"/>
      <c r="BN43" s="2">
        <v>0</v>
      </c>
      <c r="BO43" s="3"/>
      <c r="BP43" s="2">
        <v>0</v>
      </c>
      <c r="BQ43" s="3"/>
      <c r="BR43" s="2">
        <v>0</v>
      </c>
      <c r="BS43" s="3"/>
      <c r="BT43" s="2">
        <v>0</v>
      </c>
      <c r="BU43" s="3"/>
      <c r="BV43" s="2">
        <v>0</v>
      </c>
      <c r="BW43" s="3"/>
      <c r="BX43" s="2">
        <v>0</v>
      </c>
      <c r="BY43" s="3"/>
      <c r="BZ43" s="2">
        <v>0</v>
      </c>
      <c r="CA43" s="3"/>
      <c r="CB43" s="2">
        <v>0</v>
      </c>
      <c r="CC43" s="3"/>
      <c r="CD43" s="2">
        <v>0</v>
      </c>
      <c r="CE43" s="3"/>
      <c r="CF43" s="2">
        <v>0</v>
      </c>
      <c r="CG43" s="3"/>
      <c r="CH43" s="2">
        <v>0</v>
      </c>
      <c r="CI43" s="3"/>
      <c r="CJ43" s="2">
        <v>0</v>
      </c>
      <c r="CK43" s="3"/>
      <c r="CL43" s="2">
        <v>0</v>
      </c>
      <c r="CM43" s="3"/>
      <c r="CN43" s="2">
        <v>505.93</v>
      </c>
      <c r="CO43" s="3"/>
      <c r="CP43" s="2">
        <v>30.28</v>
      </c>
      <c r="CQ43" s="3"/>
      <c r="CR43" s="2">
        <v>0</v>
      </c>
      <c r="CS43" s="3"/>
      <c r="CT43" s="2">
        <v>101.64</v>
      </c>
      <c r="CU43" s="3"/>
      <c r="CV43" s="2">
        <v>0</v>
      </c>
      <c r="CW43" s="3"/>
      <c r="CX43" s="2">
        <v>0</v>
      </c>
      <c r="CY43" s="3"/>
      <c r="CZ43" s="2">
        <v>288.52999999999997</v>
      </c>
      <c r="DA43" s="3"/>
      <c r="DB43" s="2">
        <v>0</v>
      </c>
      <c r="DC43" s="3"/>
      <c r="DD43" s="2">
        <v>0</v>
      </c>
      <c r="DE43" s="3"/>
      <c r="DF43" s="2">
        <v>0</v>
      </c>
      <c r="DG43" s="3"/>
      <c r="DH43" s="2">
        <v>0</v>
      </c>
      <c r="DI43" s="3"/>
      <c r="DJ43" s="2">
        <v>0</v>
      </c>
      <c r="DK43" s="3"/>
      <c r="DL43" s="2">
        <v>0</v>
      </c>
      <c r="DM43" s="3"/>
      <c r="DN43" s="2">
        <v>0</v>
      </c>
      <c r="DO43" s="3"/>
      <c r="DP43" s="2">
        <v>0</v>
      </c>
      <c r="DQ43" s="3"/>
      <c r="DR43" s="2">
        <v>0</v>
      </c>
      <c r="DS43" s="3"/>
      <c r="DT43" s="2">
        <v>0</v>
      </c>
      <c r="DU43" s="3"/>
      <c r="DV43" s="2">
        <v>0</v>
      </c>
      <c r="DW43" s="3"/>
      <c r="DX43" s="2">
        <v>141.77000000000001</v>
      </c>
      <c r="DY43" s="3"/>
      <c r="DZ43" s="2">
        <v>1517.43</v>
      </c>
      <c r="EA43" s="3"/>
      <c r="EB43" s="2">
        <v>0</v>
      </c>
      <c r="EC43" s="3"/>
      <c r="ED43" s="2">
        <v>0</v>
      </c>
      <c r="EE43" s="3"/>
      <c r="EF43" s="2">
        <v>0</v>
      </c>
      <c r="EG43" s="3"/>
      <c r="EH43" s="2">
        <f t="shared" si="1"/>
        <v>2966.06</v>
      </c>
    </row>
    <row r="44" spans="1:138" ht="14.65" thickBot="1" x14ac:dyDescent="0.5">
      <c r="A44" s="1"/>
      <c r="B44" s="1"/>
      <c r="C44" s="1"/>
      <c r="D44" s="1" t="s">
        <v>109</v>
      </c>
      <c r="E44" s="1"/>
      <c r="F44" s="5">
        <f>ROUND(SUM(F13:F43),5)</f>
        <v>75074.490000000005</v>
      </c>
      <c r="G44" s="3"/>
      <c r="H44" s="5">
        <f>ROUND(SUM(H13:H43),5)</f>
        <v>68755.41</v>
      </c>
      <c r="I44" s="3"/>
      <c r="J44" s="5">
        <f>ROUND(SUM(J13:J43),5)</f>
        <v>79915.520000000004</v>
      </c>
      <c r="K44" s="3"/>
      <c r="L44" s="5">
        <f>ROUND(SUM(L13:L43),5)</f>
        <v>80493.919999999998</v>
      </c>
      <c r="M44" s="3"/>
      <c r="N44" s="5">
        <f>ROUND(SUM(N13:N43),5)</f>
        <v>101587.39</v>
      </c>
      <c r="O44" s="3"/>
      <c r="P44" s="5">
        <f>ROUND(SUM(P13:P43),5)</f>
        <v>166149.22</v>
      </c>
      <c r="Q44" s="3"/>
      <c r="R44" s="5">
        <f>ROUND(SUM(R13:R43),5)</f>
        <v>58510.7</v>
      </c>
      <c r="S44" s="3"/>
      <c r="T44" s="5">
        <f>ROUND(SUM(T13:T43),5)</f>
        <v>92768.13</v>
      </c>
      <c r="U44" s="3"/>
      <c r="V44" s="5">
        <f>ROUND(SUM(V13:V43),5)</f>
        <v>113405.18</v>
      </c>
      <c r="W44" s="3"/>
      <c r="X44" s="5">
        <f>ROUND(SUM(X13:X43),5)</f>
        <v>60587.9</v>
      </c>
      <c r="Y44" s="3"/>
      <c r="Z44" s="5">
        <f>ROUND(SUM(Z13:Z43),5)</f>
        <v>149351.54999999999</v>
      </c>
      <c r="AA44" s="3"/>
      <c r="AB44" s="5">
        <f>ROUND(SUM(AB13:AB43),5)</f>
        <v>107544.88</v>
      </c>
      <c r="AC44" s="3"/>
      <c r="AD44" s="5">
        <f>ROUND(SUM(AD13:AD43),5)</f>
        <v>85902.68</v>
      </c>
      <c r="AE44" s="3"/>
      <c r="AF44" s="5">
        <f>ROUND(SUM(AF13:AF43),5)</f>
        <v>118249.08</v>
      </c>
      <c r="AG44" s="3"/>
      <c r="AH44" s="5">
        <f>ROUND(SUM(AH13:AH43),5)</f>
        <v>159394.32</v>
      </c>
      <c r="AI44" s="3"/>
      <c r="AJ44" s="5">
        <f>ROUND(SUM(AJ13:AJ43),5)</f>
        <v>86797.85</v>
      </c>
      <c r="AK44" s="3"/>
      <c r="AL44" s="5">
        <f>ROUND(SUM(AL13:AL43),5)</f>
        <v>77410.820000000007</v>
      </c>
      <c r="AM44" s="3"/>
      <c r="AN44" s="5">
        <f>ROUND(SUM(AN13:AN43),5)</f>
        <v>-20500.54</v>
      </c>
      <c r="AO44" s="3"/>
      <c r="AP44" s="5">
        <f>ROUND(SUM(AP13:AP43),5)</f>
        <v>108707.22</v>
      </c>
      <c r="AQ44" s="3"/>
      <c r="AR44" s="5">
        <f>ROUND(SUM(AR13:AR43),5)</f>
        <v>160243.03</v>
      </c>
      <c r="AS44" s="3"/>
      <c r="AT44" s="5">
        <f>ROUND(SUM(AT13:AT43),5)</f>
        <v>112504.4</v>
      </c>
      <c r="AU44" s="3"/>
      <c r="AV44" s="5">
        <f>ROUND(SUM(AV13:AV43),5)</f>
        <v>113473.41</v>
      </c>
      <c r="AW44" s="3"/>
      <c r="AX44" s="5">
        <f>ROUND(SUM(AX13:AX43),5)</f>
        <v>147077.04999999999</v>
      </c>
      <c r="AY44" s="3"/>
      <c r="AZ44" s="5">
        <f>ROUND(SUM(AZ13:AZ43),5)</f>
        <v>48890.62</v>
      </c>
      <c r="BA44" s="3"/>
      <c r="BB44" s="5">
        <f>ROUND(SUM(BB13:BB43),5)</f>
        <v>-73990.399999999994</v>
      </c>
      <c r="BC44" s="3"/>
      <c r="BD44" s="5">
        <f>ROUND(SUM(BD13:BD43),5)</f>
        <v>95048.17</v>
      </c>
      <c r="BE44" s="3"/>
      <c r="BF44" s="5">
        <f>ROUND(SUM(BF13:BF43),5)</f>
        <v>418426.56</v>
      </c>
      <c r="BG44" s="3"/>
      <c r="BH44" s="5">
        <f>ROUND(SUM(BH13:BH43),5)</f>
        <v>88531.839999999997</v>
      </c>
      <c r="BI44" s="3"/>
      <c r="BJ44" s="5">
        <f>ROUND(SUM(BJ13:BJ43),5)</f>
        <v>158083.85999999999</v>
      </c>
      <c r="BK44" s="3"/>
      <c r="BL44" s="5">
        <f>ROUND(SUM(BL13:BL43),5)</f>
        <v>99674.15</v>
      </c>
      <c r="BM44" s="3"/>
      <c r="BN44" s="5">
        <f>ROUND(SUM(BN13:BN43),5)</f>
        <v>238263.02</v>
      </c>
      <c r="BO44" s="3"/>
      <c r="BP44" s="5">
        <f>ROUND(SUM(BP13:BP43),5)</f>
        <v>107615.79</v>
      </c>
      <c r="BQ44" s="3"/>
      <c r="BR44" s="5">
        <f>ROUND(SUM(BR13:BR43),5)</f>
        <v>86711.93</v>
      </c>
      <c r="BS44" s="3"/>
      <c r="BT44" s="5">
        <f>ROUND(SUM(BT13:BT43),5)</f>
        <v>81910.740000000005</v>
      </c>
      <c r="BU44" s="3"/>
      <c r="BV44" s="5">
        <f>ROUND(SUM(BV13:BV43),5)</f>
        <v>99442.559999999998</v>
      </c>
      <c r="BW44" s="3"/>
      <c r="BX44" s="5">
        <f>ROUND(SUM(BX13:BX43),5)</f>
        <v>-345781.11</v>
      </c>
      <c r="BY44" s="3"/>
      <c r="BZ44" s="5">
        <f>ROUND(SUM(BZ13:BZ43),5)</f>
        <v>66718.399999999994</v>
      </c>
      <c r="CA44" s="3"/>
      <c r="CB44" s="5">
        <f>ROUND(SUM(CB13:CB43),5)</f>
        <v>100901.61</v>
      </c>
      <c r="CC44" s="3"/>
      <c r="CD44" s="5">
        <f>ROUND(SUM(CD13:CD43),5)</f>
        <v>80569.38</v>
      </c>
      <c r="CE44" s="3"/>
      <c r="CF44" s="5">
        <f>ROUND(SUM(CF13:CF43),5)</f>
        <v>106611.59</v>
      </c>
      <c r="CG44" s="3"/>
      <c r="CH44" s="5">
        <f>ROUND(SUM(CH13:CH43),5)</f>
        <v>103426.31</v>
      </c>
      <c r="CI44" s="3"/>
      <c r="CJ44" s="5">
        <f>ROUND(SUM(CJ13:CJ43),5)</f>
        <v>78758.78</v>
      </c>
      <c r="CK44" s="3"/>
      <c r="CL44" s="5">
        <f>ROUND(SUM(CL13:CL43),5)</f>
        <v>92743.3</v>
      </c>
      <c r="CM44" s="3"/>
      <c r="CN44" s="5">
        <f>ROUND(SUM(CN13:CN43),5)</f>
        <v>61354.93</v>
      </c>
      <c r="CO44" s="3"/>
      <c r="CP44" s="5">
        <f>ROUND(SUM(CP13:CP43),5)</f>
        <v>106856.26</v>
      </c>
      <c r="CQ44" s="3"/>
      <c r="CR44" s="5">
        <f>ROUND(SUM(CR13:CR43),5)</f>
        <v>75274.02</v>
      </c>
      <c r="CS44" s="3"/>
      <c r="CT44" s="5">
        <f>ROUND(SUM(CT13:CT43),5)</f>
        <v>78200.59</v>
      </c>
      <c r="CU44" s="3"/>
      <c r="CV44" s="5">
        <f>ROUND(SUM(CV13:CV43),5)</f>
        <v>-43943.29</v>
      </c>
      <c r="CW44" s="3"/>
      <c r="CX44" s="5">
        <f>ROUND(SUM(CX13:CX43),5)</f>
        <v>101110.79</v>
      </c>
      <c r="CY44" s="3"/>
      <c r="CZ44" s="5">
        <f>ROUND(SUM(CZ13:CZ43),5)</f>
        <v>135083.35999999999</v>
      </c>
      <c r="DA44" s="3"/>
      <c r="DB44" s="5">
        <f>ROUND(SUM(DB13:DB43),5)</f>
        <v>269823.44</v>
      </c>
      <c r="DC44" s="3"/>
      <c r="DD44" s="5">
        <f>ROUND(SUM(DD13:DD43),5)</f>
        <v>112413.47</v>
      </c>
      <c r="DE44" s="3"/>
      <c r="DF44" s="5">
        <f>ROUND(SUM(DF13:DF43),5)</f>
        <v>90540.38</v>
      </c>
      <c r="DG44" s="3"/>
      <c r="DH44" s="5">
        <f>ROUND(SUM(DH13:DH43),5)</f>
        <v>89253.19</v>
      </c>
      <c r="DI44" s="3"/>
      <c r="DJ44" s="5">
        <f>ROUND(SUM(DJ13:DJ43),5)</f>
        <v>76358.77</v>
      </c>
      <c r="DK44" s="3"/>
      <c r="DL44" s="5">
        <f>ROUND(SUM(DL13:DL43),5)</f>
        <v>84441.8</v>
      </c>
      <c r="DM44" s="3"/>
      <c r="DN44" s="5">
        <f>ROUND(SUM(DN13:DN43),5)</f>
        <v>84923.16</v>
      </c>
      <c r="DO44" s="3"/>
      <c r="DP44" s="5">
        <f>ROUND(SUM(DP13:DP43),5)</f>
        <v>64445.11</v>
      </c>
      <c r="DQ44" s="3"/>
      <c r="DR44" s="5">
        <f>ROUND(SUM(DR13:DR43),5)</f>
        <v>90297.18</v>
      </c>
      <c r="DS44" s="3"/>
      <c r="DT44" s="5">
        <f>ROUND(SUM(DT13:DT43),5)</f>
        <v>33261.72</v>
      </c>
      <c r="DU44" s="3"/>
      <c r="DV44" s="5">
        <f>ROUND(SUM(DV13:DV43),5)</f>
        <v>97722.08</v>
      </c>
      <c r="DW44" s="3"/>
      <c r="DX44" s="5">
        <f>ROUND(SUM(DX13:DX43),5)</f>
        <v>83060.039999999994</v>
      </c>
      <c r="DY44" s="3"/>
      <c r="DZ44" s="5">
        <f>ROUND(SUM(DZ13:DZ43),5)</f>
        <v>55007.42</v>
      </c>
      <c r="EA44" s="3"/>
      <c r="EB44" s="5">
        <f>ROUND(SUM(EB13:EB43),5)</f>
        <v>213521.7</v>
      </c>
      <c r="EC44" s="3"/>
      <c r="ED44" s="5">
        <f>ROUND(SUM(ED13:ED43),5)</f>
        <v>101987.45</v>
      </c>
      <c r="EE44" s="3"/>
      <c r="EF44" s="5">
        <f>ROUND(SUM(EF13:EF43),5)</f>
        <v>123431.32</v>
      </c>
      <c r="EG44" s="3"/>
      <c r="EH44" s="5">
        <f t="shared" si="1"/>
        <v>6220385.5999999996</v>
      </c>
    </row>
    <row r="45" spans="1:138" x14ac:dyDescent="0.45">
      <c r="A45" s="1"/>
      <c r="B45" s="1"/>
      <c r="C45" s="1" t="s">
        <v>110</v>
      </c>
      <c r="D45" s="1"/>
      <c r="E45" s="1"/>
      <c r="F45" s="2">
        <f>ROUND(F12-F44,5)</f>
        <v>52681.95</v>
      </c>
      <c r="G45" s="3"/>
      <c r="H45" s="2">
        <f>ROUND(H12-H44,5)</f>
        <v>-9070.16</v>
      </c>
      <c r="I45" s="3"/>
      <c r="J45" s="2">
        <f>ROUND(J12-J44,5)</f>
        <v>16387.150000000001</v>
      </c>
      <c r="K45" s="3"/>
      <c r="L45" s="2">
        <f>ROUND(L12-L44,5)</f>
        <v>62676.45</v>
      </c>
      <c r="M45" s="3"/>
      <c r="N45" s="2">
        <f>ROUND(N12-N44,5)</f>
        <v>62378.34</v>
      </c>
      <c r="O45" s="3"/>
      <c r="P45" s="2">
        <f>ROUND(P12-P44,5)</f>
        <v>58655.34</v>
      </c>
      <c r="Q45" s="3"/>
      <c r="R45" s="2">
        <f>ROUND(R12-R44,5)</f>
        <v>46064.52</v>
      </c>
      <c r="S45" s="3"/>
      <c r="T45" s="2">
        <f>ROUND(T12-T44,5)</f>
        <v>87216.59</v>
      </c>
      <c r="U45" s="3"/>
      <c r="V45" s="2">
        <f>ROUND(V12-V44,5)</f>
        <v>64210.7</v>
      </c>
      <c r="W45" s="3"/>
      <c r="X45" s="2">
        <f>ROUND(X12-X44,5)</f>
        <v>63419.24</v>
      </c>
      <c r="Y45" s="3"/>
      <c r="Z45" s="2">
        <f>ROUND(Z12-Z44,5)</f>
        <v>13397.93</v>
      </c>
      <c r="AA45" s="3"/>
      <c r="AB45" s="2">
        <f>ROUND(AB12-AB44,5)</f>
        <v>21191.33</v>
      </c>
      <c r="AC45" s="3"/>
      <c r="AD45" s="2">
        <f>ROUND(AD12-AD44,5)</f>
        <v>14905.05</v>
      </c>
      <c r="AE45" s="3"/>
      <c r="AF45" s="2">
        <f>ROUND(AF12-AF44,5)</f>
        <v>136521.60000000001</v>
      </c>
      <c r="AG45" s="3"/>
      <c r="AH45" s="2">
        <f>ROUND(AH12-AH44,5)</f>
        <v>79951.240000000005</v>
      </c>
      <c r="AI45" s="3"/>
      <c r="AJ45" s="2">
        <f>ROUND(AJ12-AJ44,5)</f>
        <v>143645.43</v>
      </c>
      <c r="AK45" s="3"/>
      <c r="AL45" s="2">
        <f>ROUND(AL12-AL44,5)</f>
        <v>62129.39</v>
      </c>
      <c r="AM45" s="3"/>
      <c r="AN45" s="2">
        <f>ROUND(AN12-AN44,5)</f>
        <v>222697.94</v>
      </c>
      <c r="AO45" s="3"/>
      <c r="AP45" s="2">
        <f>ROUND(AP12-AP44,5)</f>
        <v>75043.31</v>
      </c>
      <c r="AQ45" s="3"/>
      <c r="AR45" s="2">
        <f>ROUND(AR12-AR44,5)</f>
        <v>131404.84</v>
      </c>
      <c r="AS45" s="3"/>
      <c r="AT45" s="2">
        <f>ROUND(AT12-AT44,5)</f>
        <v>22748.89</v>
      </c>
      <c r="AU45" s="3"/>
      <c r="AV45" s="2">
        <f>ROUND(AV12-AV44,5)</f>
        <v>27078.13</v>
      </c>
      <c r="AW45" s="3"/>
      <c r="AX45" s="2">
        <f>ROUND(AX12-AX44,5)</f>
        <v>65010.79</v>
      </c>
      <c r="AY45" s="3"/>
      <c r="AZ45" s="2">
        <f>ROUND(AZ12-AZ44,5)</f>
        <v>33884.69</v>
      </c>
      <c r="BA45" s="3"/>
      <c r="BB45" s="2">
        <f>ROUND(BB12-BB44,5)</f>
        <v>220514.34</v>
      </c>
      <c r="BC45" s="3"/>
      <c r="BD45" s="2">
        <f>ROUND(BD12-BD44,5)</f>
        <v>93684.71</v>
      </c>
      <c r="BE45" s="3"/>
      <c r="BF45" s="2">
        <f>ROUND(BF12-BF44,5)</f>
        <v>-196817.15</v>
      </c>
      <c r="BG45" s="3"/>
      <c r="BH45" s="2">
        <f>ROUND(BH12-BH44,5)</f>
        <v>124493</v>
      </c>
      <c r="BI45" s="3"/>
      <c r="BJ45" s="2">
        <f>ROUND(BJ12-BJ44,5)</f>
        <v>56808.27</v>
      </c>
      <c r="BK45" s="3"/>
      <c r="BL45" s="2">
        <f>ROUND(BL12-BL44,5)</f>
        <v>91146.71</v>
      </c>
      <c r="BM45" s="3"/>
      <c r="BN45" s="2">
        <f>ROUND(BN12-BN44,5)</f>
        <v>-92849.85</v>
      </c>
      <c r="BO45" s="3"/>
      <c r="BP45" s="2">
        <f>ROUND(BP12-BP44,5)</f>
        <v>47852.04</v>
      </c>
      <c r="BQ45" s="3"/>
      <c r="BR45" s="2">
        <f>ROUND(BR12-BR44,5)</f>
        <v>75175.91</v>
      </c>
      <c r="BS45" s="3"/>
      <c r="BT45" s="2">
        <f>ROUND(BT12-BT44,5)</f>
        <v>56287.1</v>
      </c>
      <c r="BU45" s="3"/>
      <c r="BV45" s="2">
        <f>ROUND(BV12-BV44,5)</f>
        <v>51214.53</v>
      </c>
      <c r="BW45" s="3"/>
      <c r="BX45" s="2">
        <f>ROUND(BX12-BX44,5)</f>
        <v>434040.29</v>
      </c>
      <c r="BY45" s="3"/>
      <c r="BZ45" s="2">
        <f>ROUND(BZ12-BZ44,5)</f>
        <v>22981.18</v>
      </c>
      <c r="CA45" s="3"/>
      <c r="CB45" s="2">
        <f>ROUND(CB12-CB44,5)</f>
        <v>79378.17</v>
      </c>
      <c r="CC45" s="3"/>
      <c r="CD45" s="2">
        <f>ROUND(CD12-CD44,5)</f>
        <v>41877.129999999997</v>
      </c>
      <c r="CE45" s="3"/>
      <c r="CF45" s="2">
        <f>ROUND(CF12-CF44,5)</f>
        <v>21043.23</v>
      </c>
      <c r="CG45" s="3"/>
      <c r="CH45" s="2">
        <f>ROUND(CH12-CH44,5)</f>
        <v>40738.94</v>
      </c>
      <c r="CI45" s="3"/>
      <c r="CJ45" s="2">
        <f>ROUND(CJ12-CJ44,5)</f>
        <v>41188.300000000003</v>
      </c>
      <c r="CK45" s="3"/>
      <c r="CL45" s="2">
        <f>ROUND(CL12-CL44,5)</f>
        <v>72887.48</v>
      </c>
      <c r="CM45" s="3"/>
      <c r="CN45" s="2">
        <f>ROUND(CN12-CN44,5)</f>
        <v>85324.74</v>
      </c>
      <c r="CO45" s="3"/>
      <c r="CP45" s="2">
        <f>ROUND(CP12-CP44,5)</f>
        <v>59305.58</v>
      </c>
      <c r="CQ45" s="3"/>
      <c r="CR45" s="2">
        <f>ROUND(CR12-CR44,5)</f>
        <v>43766.34</v>
      </c>
      <c r="CS45" s="3"/>
      <c r="CT45" s="2">
        <f>ROUND(CT12-CT44,5)</f>
        <v>63058.11</v>
      </c>
      <c r="CU45" s="3"/>
      <c r="CV45" s="2">
        <f>ROUND(CV12-CV44,5)</f>
        <v>137730.38</v>
      </c>
      <c r="CW45" s="3"/>
      <c r="CX45" s="2">
        <f>ROUND(CX12-CX44,5)</f>
        <v>48976.23</v>
      </c>
      <c r="CY45" s="3"/>
      <c r="CZ45" s="2">
        <f>ROUND(CZ12-CZ44,5)</f>
        <v>-36804.22</v>
      </c>
      <c r="DA45" s="3"/>
      <c r="DB45" s="2">
        <f>ROUND(DB12-DB44,5)</f>
        <v>-63499.62</v>
      </c>
      <c r="DC45" s="3"/>
      <c r="DD45" s="2">
        <f>ROUND(DD12-DD44,5)</f>
        <v>67004.56</v>
      </c>
      <c r="DE45" s="3"/>
      <c r="DF45" s="2">
        <f>ROUND(DF12-DF44,5)</f>
        <v>41522.28</v>
      </c>
      <c r="DG45" s="3"/>
      <c r="DH45" s="2">
        <f>ROUND(DH12-DH44,5)</f>
        <v>56756.79</v>
      </c>
      <c r="DI45" s="3"/>
      <c r="DJ45" s="2">
        <f>ROUND(DJ12-DJ44,5)</f>
        <v>54223.07</v>
      </c>
      <c r="DK45" s="3"/>
      <c r="DL45" s="2">
        <f>ROUND(DL12-DL44,5)</f>
        <v>70188.23</v>
      </c>
      <c r="DM45" s="3"/>
      <c r="DN45" s="2">
        <f>ROUND(DN12-DN44,5)</f>
        <v>80863.48</v>
      </c>
      <c r="DO45" s="3"/>
      <c r="DP45" s="2">
        <f>ROUND(DP12-DP44,5)</f>
        <v>64928.71</v>
      </c>
      <c r="DQ45" s="3"/>
      <c r="DR45" s="2">
        <f>ROUND(DR12-DR44,5)</f>
        <v>52106.13</v>
      </c>
      <c r="DS45" s="3"/>
      <c r="DT45" s="2">
        <f>ROUND(DT12-DT44,5)</f>
        <v>123381.16</v>
      </c>
      <c r="DU45" s="3"/>
      <c r="DV45" s="2">
        <f>ROUND(DV12-DV44,5)</f>
        <v>140997.45000000001</v>
      </c>
      <c r="DW45" s="3"/>
      <c r="DX45" s="2">
        <f>ROUND(DX12-DX44,5)</f>
        <v>64511.65</v>
      </c>
      <c r="DY45" s="3"/>
      <c r="DZ45" s="2">
        <f>ROUND(DZ12-DZ44,5)</f>
        <v>87220.58</v>
      </c>
      <c r="EA45" s="3"/>
      <c r="EB45" s="2">
        <f>ROUND(EB12-EB44,5)</f>
        <v>-58990.36</v>
      </c>
      <c r="EC45" s="3"/>
      <c r="ED45" s="2">
        <f>ROUND(ED12-ED44,5)</f>
        <v>81237.929999999993</v>
      </c>
      <c r="EE45" s="3"/>
      <c r="EF45" s="2">
        <f>ROUND(EF12-EF44,5)</f>
        <v>103997.96</v>
      </c>
      <c r="EG45" s="3"/>
      <c r="EH45" s="2">
        <f t="shared" si="1"/>
        <v>4203682.17</v>
      </c>
    </row>
    <row r="46" spans="1:138" x14ac:dyDescent="0.45">
      <c r="A46" s="1"/>
      <c r="B46" s="1"/>
      <c r="C46" s="1"/>
      <c r="D46" s="1" t="s">
        <v>111</v>
      </c>
      <c r="E46" s="1"/>
      <c r="F46" s="2"/>
      <c r="G46" s="3"/>
      <c r="H46" s="2"/>
      <c r="I46" s="3"/>
      <c r="J46" s="2"/>
      <c r="K46" s="3"/>
      <c r="L46" s="2"/>
      <c r="M46" s="3"/>
      <c r="N46" s="2"/>
      <c r="O46" s="3"/>
      <c r="P46" s="2"/>
      <c r="Q46" s="3"/>
      <c r="R46" s="2"/>
      <c r="S46" s="3"/>
      <c r="T46" s="2"/>
      <c r="U46" s="3"/>
      <c r="V46" s="2"/>
      <c r="W46" s="3"/>
      <c r="X46" s="2"/>
      <c r="Y46" s="3"/>
      <c r="Z46" s="2"/>
      <c r="AA46" s="3"/>
      <c r="AB46" s="2"/>
      <c r="AC46" s="3"/>
      <c r="AD46" s="2"/>
      <c r="AE46" s="3"/>
      <c r="AF46" s="2"/>
      <c r="AG46" s="3"/>
      <c r="AH46" s="2"/>
      <c r="AI46" s="3"/>
      <c r="AJ46" s="2"/>
      <c r="AK46" s="3"/>
      <c r="AL46" s="2"/>
      <c r="AM46" s="3"/>
      <c r="AN46" s="2"/>
      <c r="AO46" s="3"/>
      <c r="AP46" s="2"/>
      <c r="AQ46" s="3"/>
      <c r="AR46" s="2"/>
      <c r="AS46" s="3"/>
      <c r="AT46" s="2"/>
      <c r="AU46" s="3"/>
      <c r="AV46" s="2"/>
      <c r="AW46" s="3"/>
      <c r="AX46" s="2"/>
      <c r="AY46" s="3"/>
      <c r="AZ46" s="2"/>
      <c r="BA46" s="3"/>
      <c r="BB46" s="2"/>
      <c r="BC46" s="3"/>
      <c r="BD46" s="2"/>
      <c r="BE46" s="3"/>
      <c r="BF46" s="2"/>
      <c r="BG46" s="3"/>
      <c r="BH46" s="2"/>
      <c r="BI46" s="3"/>
      <c r="BJ46" s="2"/>
      <c r="BK46" s="3"/>
      <c r="BL46" s="2"/>
      <c r="BM46" s="3"/>
      <c r="BN46" s="2"/>
      <c r="BO46" s="3"/>
      <c r="BP46" s="2"/>
      <c r="BQ46" s="3"/>
      <c r="BR46" s="2"/>
      <c r="BS46" s="3"/>
      <c r="BT46" s="2"/>
      <c r="BU46" s="3"/>
      <c r="BV46" s="2"/>
      <c r="BW46" s="3"/>
      <c r="BX46" s="2"/>
      <c r="BY46" s="3"/>
      <c r="BZ46" s="2"/>
      <c r="CA46" s="3"/>
      <c r="CB46" s="2"/>
      <c r="CC46" s="3"/>
      <c r="CD46" s="2"/>
      <c r="CE46" s="3"/>
      <c r="CF46" s="2"/>
      <c r="CG46" s="3"/>
      <c r="CH46" s="2"/>
      <c r="CI46" s="3"/>
      <c r="CJ46" s="2"/>
      <c r="CK46" s="3"/>
      <c r="CL46" s="2"/>
      <c r="CM46" s="3"/>
      <c r="CN46" s="2"/>
      <c r="CO46" s="3"/>
      <c r="CP46" s="2"/>
      <c r="CQ46" s="3"/>
      <c r="CR46" s="2"/>
      <c r="CS46" s="3"/>
      <c r="CT46" s="2"/>
      <c r="CU46" s="3"/>
      <c r="CV46" s="2"/>
      <c r="CW46" s="3"/>
      <c r="CX46" s="2"/>
      <c r="CY46" s="3"/>
      <c r="CZ46" s="2"/>
      <c r="DA46" s="3"/>
      <c r="DB46" s="2"/>
      <c r="DC46" s="3"/>
      <c r="DD46" s="2"/>
      <c r="DE46" s="3"/>
      <c r="DF46" s="2"/>
      <c r="DG46" s="3"/>
      <c r="DH46" s="2"/>
      <c r="DI46" s="3"/>
      <c r="DJ46" s="2"/>
      <c r="DK46" s="3"/>
      <c r="DL46" s="2"/>
      <c r="DM46" s="3"/>
      <c r="DN46" s="2"/>
      <c r="DO46" s="3"/>
      <c r="DP46" s="2"/>
      <c r="DQ46" s="3"/>
      <c r="DR46" s="2"/>
      <c r="DS46" s="3"/>
      <c r="DT46" s="2"/>
      <c r="DU46" s="3"/>
      <c r="DV46" s="2"/>
      <c r="DW46" s="3"/>
      <c r="DX46" s="2"/>
      <c r="DY46" s="3"/>
      <c r="DZ46" s="2"/>
      <c r="EA46" s="3"/>
      <c r="EB46" s="2"/>
      <c r="EC46" s="3"/>
      <c r="ED46" s="2"/>
      <c r="EE46" s="3"/>
      <c r="EF46" s="2"/>
      <c r="EG46" s="3"/>
      <c r="EH46" s="2"/>
    </row>
    <row r="47" spans="1:138" x14ac:dyDescent="0.45">
      <c r="A47" s="1"/>
      <c r="B47" s="1"/>
      <c r="C47" s="1"/>
      <c r="D47" s="1"/>
      <c r="E47" s="1" t="s">
        <v>112</v>
      </c>
      <c r="F47" s="2">
        <v>0</v>
      </c>
      <c r="G47" s="3"/>
      <c r="H47" s="2">
        <v>0</v>
      </c>
      <c r="I47" s="3"/>
      <c r="J47" s="2">
        <v>0</v>
      </c>
      <c r="K47" s="3"/>
      <c r="L47" s="2">
        <v>0</v>
      </c>
      <c r="M47" s="3"/>
      <c r="N47" s="2">
        <v>0</v>
      </c>
      <c r="O47" s="3"/>
      <c r="P47" s="2">
        <v>0</v>
      </c>
      <c r="Q47" s="3"/>
      <c r="R47" s="2">
        <v>0</v>
      </c>
      <c r="S47" s="3"/>
      <c r="T47" s="2">
        <v>0</v>
      </c>
      <c r="U47" s="3"/>
      <c r="V47" s="2">
        <v>0</v>
      </c>
      <c r="W47" s="3"/>
      <c r="X47" s="2">
        <v>0</v>
      </c>
      <c r="Y47" s="3"/>
      <c r="Z47" s="2">
        <v>0</v>
      </c>
      <c r="AA47" s="3"/>
      <c r="AB47" s="2">
        <v>0</v>
      </c>
      <c r="AC47" s="3"/>
      <c r="AD47" s="2">
        <v>0</v>
      </c>
      <c r="AE47" s="3"/>
      <c r="AF47" s="2">
        <v>0</v>
      </c>
      <c r="AG47" s="3"/>
      <c r="AH47" s="2">
        <v>0</v>
      </c>
      <c r="AI47" s="3"/>
      <c r="AJ47" s="2">
        <v>0</v>
      </c>
      <c r="AK47" s="3"/>
      <c r="AL47" s="2">
        <v>0</v>
      </c>
      <c r="AM47" s="3"/>
      <c r="AN47" s="2">
        <v>0</v>
      </c>
      <c r="AO47" s="3"/>
      <c r="AP47" s="2">
        <v>0</v>
      </c>
      <c r="AQ47" s="3"/>
      <c r="AR47" s="2">
        <v>0</v>
      </c>
      <c r="AS47" s="3"/>
      <c r="AT47" s="2">
        <v>0</v>
      </c>
      <c r="AU47" s="3"/>
      <c r="AV47" s="2">
        <v>0</v>
      </c>
      <c r="AW47" s="3"/>
      <c r="AX47" s="2">
        <v>0</v>
      </c>
      <c r="AY47" s="3"/>
      <c r="AZ47" s="2">
        <v>0</v>
      </c>
      <c r="BA47" s="3"/>
      <c r="BB47" s="2">
        <v>0</v>
      </c>
      <c r="BC47" s="3"/>
      <c r="BD47" s="2">
        <v>0</v>
      </c>
      <c r="BE47" s="3"/>
      <c r="BF47" s="2">
        <v>0</v>
      </c>
      <c r="BG47" s="3"/>
      <c r="BH47" s="2">
        <v>0</v>
      </c>
      <c r="BI47" s="3"/>
      <c r="BJ47" s="2">
        <v>0</v>
      </c>
      <c r="BK47" s="3"/>
      <c r="BL47" s="2">
        <v>0</v>
      </c>
      <c r="BM47" s="3"/>
      <c r="BN47" s="2">
        <v>0</v>
      </c>
      <c r="BO47" s="3"/>
      <c r="BP47" s="2">
        <v>0</v>
      </c>
      <c r="BQ47" s="3"/>
      <c r="BR47" s="2">
        <v>0</v>
      </c>
      <c r="BS47" s="3"/>
      <c r="BT47" s="2">
        <v>0</v>
      </c>
      <c r="BU47" s="3"/>
      <c r="BV47" s="2">
        <v>0</v>
      </c>
      <c r="BW47" s="3"/>
      <c r="BX47" s="2">
        <v>0</v>
      </c>
      <c r="BY47" s="3"/>
      <c r="BZ47" s="2">
        <v>0</v>
      </c>
      <c r="CA47" s="3"/>
      <c r="CB47" s="2">
        <v>0</v>
      </c>
      <c r="CC47" s="3"/>
      <c r="CD47" s="2">
        <v>0</v>
      </c>
      <c r="CE47" s="3"/>
      <c r="CF47" s="2">
        <v>0</v>
      </c>
      <c r="CG47" s="3"/>
      <c r="CH47" s="2">
        <v>0</v>
      </c>
      <c r="CI47" s="3"/>
      <c r="CJ47" s="2">
        <v>0</v>
      </c>
      <c r="CK47" s="3"/>
      <c r="CL47" s="2">
        <v>0</v>
      </c>
      <c r="CM47" s="3"/>
      <c r="CN47" s="2">
        <v>0</v>
      </c>
      <c r="CO47" s="3"/>
      <c r="CP47" s="2">
        <v>0</v>
      </c>
      <c r="CQ47" s="3"/>
      <c r="CR47" s="2">
        <v>0</v>
      </c>
      <c r="CS47" s="3"/>
      <c r="CT47" s="2">
        <v>0</v>
      </c>
      <c r="CU47" s="3"/>
      <c r="CV47" s="2">
        <v>76.69</v>
      </c>
      <c r="CW47" s="3"/>
      <c r="CX47" s="2">
        <v>0</v>
      </c>
      <c r="CY47" s="3"/>
      <c r="CZ47" s="2">
        <v>0</v>
      </c>
      <c r="DA47" s="3"/>
      <c r="DB47" s="2">
        <v>0</v>
      </c>
      <c r="DC47" s="3"/>
      <c r="DD47" s="2">
        <v>0</v>
      </c>
      <c r="DE47" s="3"/>
      <c r="DF47" s="2">
        <v>76.69</v>
      </c>
      <c r="DG47" s="3"/>
      <c r="DH47" s="2">
        <v>0</v>
      </c>
      <c r="DI47" s="3"/>
      <c r="DJ47" s="2">
        <v>0</v>
      </c>
      <c r="DK47" s="3"/>
      <c r="DL47" s="2">
        <v>0</v>
      </c>
      <c r="DM47" s="3"/>
      <c r="DN47" s="2">
        <v>0</v>
      </c>
      <c r="DO47" s="3"/>
      <c r="DP47" s="2">
        <v>0</v>
      </c>
      <c r="DQ47" s="3"/>
      <c r="DR47" s="2">
        <v>0</v>
      </c>
      <c r="DS47" s="3"/>
      <c r="DT47" s="2">
        <v>0</v>
      </c>
      <c r="DU47" s="3"/>
      <c r="DV47" s="2">
        <v>0</v>
      </c>
      <c r="DW47" s="3"/>
      <c r="DX47" s="2">
        <v>0</v>
      </c>
      <c r="DY47" s="3"/>
      <c r="DZ47" s="2">
        <v>0</v>
      </c>
      <c r="EA47" s="3"/>
      <c r="EB47" s="2">
        <v>75</v>
      </c>
      <c r="EC47" s="3"/>
      <c r="ED47" s="2">
        <v>0</v>
      </c>
      <c r="EE47" s="3"/>
      <c r="EF47" s="2">
        <v>0</v>
      </c>
      <c r="EG47" s="3"/>
      <c r="EH47" s="2">
        <f t="shared" ref="EH47:EH83" si="2">ROUND(SUM(F47:EF47),5)</f>
        <v>228.38</v>
      </c>
    </row>
    <row r="48" spans="1:138" x14ac:dyDescent="0.45">
      <c r="A48" s="1"/>
      <c r="B48" s="1"/>
      <c r="C48" s="1"/>
      <c r="D48" s="1"/>
      <c r="E48" s="1" t="s">
        <v>113</v>
      </c>
      <c r="F48" s="2">
        <v>0</v>
      </c>
      <c r="G48" s="3"/>
      <c r="H48" s="2">
        <v>0</v>
      </c>
      <c r="I48" s="3"/>
      <c r="J48" s="2">
        <v>0</v>
      </c>
      <c r="K48" s="3"/>
      <c r="L48" s="2">
        <v>0</v>
      </c>
      <c r="M48" s="3"/>
      <c r="N48" s="2">
        <v>0</v>
      </c>
      <c r="O48" s="3"/>
      <c r="P48" s="2">
        <v>0</v>
      </c>
      <c r="Q48" s="3"/>
      <c r="R48" s="2">
        <v>0</v>
      </c>
      <c r="S48" s="3"/>
      <c r="T48" s="2">
        <v>0</v>
      </c>
      <c r="U48" s="3"/>
      <c r="V48" s="2">
        <v>0</v>
      </c>
      <c r="W48" s="3"/>
      <c r="X48" s="2">
        <v>0</v>
      </c>
      <c r="Y48" s="3"/>
      <c r="Z48" s="2">
        <v>0</v>
      </c>
      <c r="AA48" s="3"/>
      <c r="AB48" s="2">
        <v>0</v>
      </c>
      <c r="AC48" s="3"/>
      <c r="AD48" s="2">
        <v>0</v>
      </c>
      <c r="AE48" s="3"/>
      <c r="AF48" s="2">
        <v>0</v>
      </c>
      <c r="AG48" s="3"/>
      <c r="AH48" s="2">
        <v>0</v>
      </c>
      <c r="AI48" s="3"/>
      <c r="AJ48" s="2">
        <v>0</v>
      </c>
      <c r="AK48" s="3"/>
      <c r="AL48" s="2">
        <v>0</v>
      </c>
      <c r="AM48" s="3"/>
      <c r="AN48" s="2">
        <v>0</v>
      </c>
      <c r="AO48" s="3"/>
      <c r="AP48" s="2">
        <v>0</v>
      </c>
      <c r="AQ48" s="3"/>
      <c r="AR48" s="2">
        <v>0</v>
      </c>
      <c r="AS48" s="3"/>
      <c r="AT48" s="2">
        <v>0</v>
      </c>
      <c r="AU48" s="3"/>
      <c r="AV48" s="2">
        <v>0</v>
      </c>
      <c r="AW48" s="3"/>
      <c r="AX48" s="2">
        <v>0</v>
      </c>
      <c r="AY48" s="3"/>
      <c r="AZ48" s="2">
        <v>0</v>
      </c>
      <c r="BA48" s="3"/>
      <c r="BB48" s="2">
        <v>0</v>
      </c>
      <c r="BC48" s="3"/>
      <c r="BD48" s="2">
        <v>0</v>
      </c>
      <c r="BE48" s="3"/>
      <c r="BF48" s="2">
        <v>0</v>
      </c>
      <c r="BG48" s="3"/>
      <c r="BH48" s="2">
        <v>0</v>
      </c>
      <c r="BI48" s="3"/>
      <c r="BJ48" s="2">
        <v>0</v>
      </c>
      <c r="BK48" s="3"/>
      <c r="BL48" s="2">
        <v>0</v>
      </c>
      <c r="BM48" s="3"/>
      <c r="BN48" s="2">
        <v>0</v>
      </c>
      <c r="BO48" s="3"/>
      <c r="BP48" s="2">
        <v>0</v>
      </c>
      <c r="BQ48" s="3"/>
      <c r="BR48" s="2">
        <v>0</v>
      </c>
      <c r="BS48" s="3"/>
      <c r="BT48" s="2">
        <v>0</v>
      </c>
      <c r="BU48" s="3"/>
      <c r="BV48" s="2">
        <v>0</v>
      </c>
      <c r="BW48" s="3"/>
      <c r="BX48" s="2">
        <v>1415.7</v>
      </c>
      <c r="BY48" s="3"/>
      <c r="BZ48" s="2">
        <v>0</v>
      </c>
      <c r="CA48" s="3"/>
      <c r="CB48" s="2">
        <v>0</v>
      </c>
      <c r="CC48" s="3"/>
      <c r="CD48" s="2">
        <v>0</v>
      </c>
      <c r="CE48" s="3"/>
      <c r="CF48" s="2">
        <v>0</v>
      </c>
      <c r="CG48" s="3"/>
      <c r="CH48" s="2">
        <v>0</v>
      </c>
      <c r="CI48" s="3"/>
      <c r="CJ48" s="2">
        <v>0</v>
      </c>
      <c r="CK48" s="3"/>
      <c r="CL48" s="2">
        <v>0</v>
      </c>
      <c r="CM48" s="3"/>
      <c r="CN48" s="2">
        <v>0</v>
      </c>
      <c r="CO48" s="3"/>
      <c r="CP48" s="2">
        <v>0</v>
      </c>
      <c r="CQ48" s="3"/>
      <c r="CR48" s="2">
        <v>0</v>
      </c>
      <c r="CS48" s="3"/>
      <c r="CT48" s="2">
        <v>0</v>
      </c>
      <c r="CU48" s="3"/>
      <c r="CV48" s="2">
        <v>0</v>
      </c>
      <c r="CW48" s="3"/>
      <c r="CX48" s="2">
        <v>0</v>
      </c>
      <c r="CY48" s="3"/>
      <c r="CZ48" s="2">
        <v>0</v>
      </c>
      <c r="DA48" s="3"/>
      <c r="DB48" s="2">
        <v>0</v>
      </c>
      <c r="DC48" s="3"/>
      <c r="DD48" s="2">
        <v>0</v>
      </c>
      <c r="DE48" s="3"/>
      <c r="DF48" s="2">
        <v>0</v>
      </c>
      <c r="DG48" s="3"/>
      <c r="DH48" s="2">
        <v>0</v>
      </c>
      <c r="DI48" s="3"/>
      <c r="DJ48" s="2">
        <v>0</v>
      </c>
      <c r="DK48" s="3"/>
      <c r="DL48" s="2">
        <v>0</v>
      </c>
      <c r="DM48" s="3"/>
      <c r="DN48" s="2">
        <v>0</v>
      </c>
      <c r="DO48" s="3"/>
      <c r="DP48" s="2">
        <v>0</v>
      </c>
      <c r="DQ48" s="3"/>
      <c r="DR48" s="2">
        <v>0</v>
      </c>
      <c r="DS48" s="3"/>
      <c r="DT48" s="2">
        <v>0</v>
      </c>
      <c r="DU48" s="3"/>
      <c r="DV48" s="2">
        <v>0</v>
      </c>
      <c r="DW48" s="3"/>
      <c r="DX48" s="2">
        <v>0</v>
      </c>
      <c r="DY48" s="3"/>
      <c r="DZ48" s="2">
        <v>0</v>
      </c>
      <c r="EA48" s="3"/>
      <c r="EB48" s="2">
        <v>0</v>
      </c>
      <c r="EC48" s="3"/>
      <c r="ED48" s="2">
        <v>0</v>
      </c>
      <c r="EE48" s="3"/>
      <c r="EF48" s="2">
        <v>0</v>
      </c>
      <c r="EG48" s="3"/>
      <c r="EH48" s="2">
        <f t="shared" si="2"/>
        <v>1415.7</v>
      </c>
    </row>
    <row r="49" spans="1:138" x14ac:dyDescent="0.45">
      <c r="A49" s="1"/>
      <c r="B49" s="1"/>
      <c r="C49" s="1"/>
      <c r="D49" s="1"/>
      <c r="E49" s="1" t="s">
        <v>114</v>
      </c>
      <c r="F49" s="2">
        <v>1478.3</v>
      </c>
      <c r="G49" s="3"/>
      <c r="H49" s="2">
        <v>2336.8000000000002</v>
      </c>
      <c r="I49" s="3"/>
      <c r="J49" s="2">
        <v>811.87</v>
      </c>
      <c r="K49" s="3"/>
      <c r="L49" s="2">
        <v>1564.45</v>
      </c>
      <c r="M49" s="3"/>
      <c r="N49" s="2">
        <v>626.4</v>
      </c>
      <c r="O49" s="3"/>
      <c r="P49" s="2">
        <v>1163.67</v>
      </c>
      <c r="Q49" s="3"/>
      <c r="R49" s="2">
        <v>494.29</v>
      </c>
      <c r="S49" s="3"/>
      <c r="T49" s="2">
        <v>707.37</v>
      </c>
      <c r="U49" s="3"/>
      <c r="V49" s="2">
        <v>1061.8499999999999</v>
      </c>
      <c r="W49" s="3"/>
      <c r="X49" s="2">
        <v>600.08000000000004</v>
      </c>
      <c r="Y49" s="3"/>
      <c r="Z49" s="2">
        <v>745.03</v>
      </c>
      <c r="AA49" s="3"/>
      <c r="AB49" s="2">
        <v>877.26</v>
      </c>
      <c r="AC49" s="3"/>
      <c r="AD49" s="2">
        <v>552.26</v>
      </c>
      <c r="AE49" s="3"/>
      <c r="AF49" s="2">
        <v>971.42</v>
      </c>
      <c r="AG49" s="3"/>
      <c r="AH49" s="2">
        <v>819</v>
      </c>
      <c r="AI49" s="3"/>
      <c r="AJ49" s="2">
        <v>1130.04</v>
      </c>
      <c r="AK49" s="3"/>
      <c r="AL49" s="2">
        <v>2177.44</v>
      </c>
      <c r="AM49" s="3"/>
      <c r="AN49" s="2">
        <v>1199.05</v>
      </c>
      <c r="AO49" s="3"/>
      <c r="AP49" s="2">
        <v>1235.9000000000001</v>
      </c>
      <c r="AQ49" s="3"/>
      <c r="AR49" s="2">
        <v>1294.8900000000001</v>
      </c>
      <c r="AS49" s="3"/>
      <c r="AT49" s="2">
        <v>1437.25</v>
      </c>
      <c r="AU49" s="3"/>
      <c r="AV49" s="2">
        <v>1430.44</v>
      </c>
      <c r="AW49" s="3"/>
      <c r="AX49" s="2">
        <v>447.5</v>
      </c>
      <c r="AY49" s="3"/>
      <c r="AZ49" s="2">
        <v>1556.23</v>
      </c>
      <c r="BA49" s="3"/>
      <c r="BB49" s="2">
        <v>1997.83</v>
      </c>
      <c r="BC49" s="3"/>
      <c r="BD49" s="2">
        <v>2086.41</v>
      </c>
      <c r="BE49" s="3"/>
      <c r="BF49" s="2">
        <v>797.2</v>
      </c>
      <c r="BG49" s="3"/>
      <c r="BH49" s="2">
        <v>708.98</v>
      </c>
      <c r="BI49" s="3"/>
      <c r="BJ49" s="2">
        <v>1683.53</v>
      </c>
      <c r="BK49" s="3"/>
      <c r="BL49" s="2">
        <v>1225.47</v>
      </c>
      <c r="BM49" s="3"/>
      <c r="BN49" s="2">
        <v>1504.1</v>
      </c>
      <c r="BO49" s="3"/>
      <c r="BP49" s="2">
        <v>1369.86</v>
      </c>
      <c r="BQ49" s="3"/>
      <c r="BR49" s="2">
        <v>1801.14</v>
      </c>
      <c r="BS49" s="3"/>
      <c r="BT49" s="2">
        <v>1426.49</v>
      </c>
      <c r="BU49" s="3"/>
      <c r="BV49" s="2">
        <v>1099.25</v>
      </c>
      <c r="BW49" s="3"/>
      <c r="BX49" s="2">
        <v>918.71</v>
      </c>
      <c r="BY49" s="3"/>
      <c r="BZ49" s="2">
        <v>616.16999999999996</v>
      </c>
      <c r="CA49" s="3"/>
      <c r="CB49" s="2">
        <v>1045.1199999999999</v>
      </c>
      <c r="CC49" s="3"/>
      <c r="CD49" s="2">
        <v>759.94</v>
      </c>
      <c r="CE49" s="3"/>
      <c r="CF49" s="2">
        <v>2034.91</v>
      </c>
      <c r="CG49" s="3"/>
      <c r="CH49" s="2">
        <v>2440.1</v>
      </c>
      <c r="CI49" s="3"/>
      <c r="CJ49" s="2">
        <v>1518.66</v>
      </c>
      <c r="CK49" s="3"/>
      <c r="CL49" s="2">
        <v>1545.51</v>
      </c>
      <c r="CM49" s="3"/>
      <c r="CN49" s="2">
        <v>1557.03</v>
      </c>
      <c r="CO49" s="3"/>
      <c r="CP49" s="2">
        <v>2522.36</v>
      </c>
      <c r="CQ49" s="3"/>
      <c r="CR49" s="2">
        <v>898.7</v>
      </c>
      <c r="CS49" s="3"/>
      <c r="CT49" s="2">
        <v>1426.72</v>
      </c>
      <c r="CU49" s="3"/>
      <c r="CV49" s="2">
        <v>826.87</v>
      </c>
      <c r="CW49" s="3"/>
      <c r="CX49" s="2">
        <v>1645.95</v>
      </c>
      <c r="CY49" s="3"/>
      <c r="CZ49" s="2">
        <v>1033.28</v>
      </c>
      <c r="DA49" s="3"/>
      <c r="DB49" s="2">
        <v>2361.08</v>
      </c>
      <c r="DC49" s="3"/>
      <c r="DD49" s="2">
        <v>1941.1</v>
      </c>
      <c r="DE49" s="3"/>
      <c r="DF49" s="2">
        <v>1636.06</v>
      </c>
      <c r="DG49" s="3"/>
      <c r="DH49" s="2">
        <v>1122.21</v>
      </c>
      <c r="DI49" s="3"/>
      <c r="DJ49" s="2">
        <v>2027.74</v>
      </c>
      <c r="DK49" s="3"/>
      <c r="DL49" s="2">
        <v>2108.8200000000002</v>
      </c>
      <c r="DM49" s="3"/>
      <c r="DN49" s="2">
        <v>726.32</v>
      </c>
      <c r="DO49" s="3"/>
      <c r="DP49" s="2">
        <v>1438.38</v>
      </c>
      <c r="DQ49" s="3"/>
      <c r="DR49" s="2">
        <v>1001.28</v>
      </c>
      <c r="DS49" s="3"/>
      <c r="DT49" s="2">
        <v>632</v>
      </c>
      <c r="DU49" s="3"/>
      <c r="DV49" s="2">
        <v>1542.53</v>
      </c>
      <c r="DW49" s="3"/>
      <c r="DX49" s="2">
        <v>455.82</v>
      </c>
      <c r="DY49" s="3"/>
      <c r="DZ49" s="2">
        <v>869.24</v>
      </c>
      <c r="EA49" s="3"/>
      <c r="EB49" s="2">
        <v>757.84</v>
      </c>
      <c r="EC49" s="3"/>
      <c r="ED49" s="2">
        <v>504.2</v>
      </c>
      <c r="EE49" s="3"/>
      <c r="EF49" s="2">
        <v>1519.52</v>
      </c>
      <c r="EG49" s="3"/>
      <c r="EH49" s="2">
        <f t="shared" si="2"/>
        <v>83853.22</v>
      </c>
    </row>
    <row r="50" spans="1:138" x14ac:dyDescent="0.45">
      <c r="A50" s="1"/>
      <c r="B50" s="1"/>
      <c r="C50" s="1"/>
      <c r="D50" s="1"/>
      <c r="E50" s="1" t="s">
        <v>115</v>
      </c>
      <c r="F50" s="2">
        <v>-6379.96</v>
      </c>
      <c r="G50" s="3"/>
      <c r="H50" s="2">
        <v>0</v>
      </c>
      <c r="I50" s="3"/>
      <c r="J50" s="2">
        <v>0</v>
      </c>
      <c r="K50" s="3"/>
      <c r="L50" s="2">
        <v>0</v>
      </c>
      <c r="M50" s="3"/>
      <c r="N50" s="2">
        <v>0</v>
      </c>
      <c r="O50" s="3"/>
      <c r="P50" s="2">
        <v>0</v>
      </c>
      <c r="Q50" s="3"/>
      <c r="R50" s="2">
        <v>0</v>
      </c>
      <c r="S50" s="3"/>
      <c r="T50" s="2">
        <v>0</v>
      </c>
      <c r="U50" s="3"/>
      <c r="V50" s="2">
        <v>0</v>
      </c>
      <c r="W50" s="3"/>
      <c r="X50" s="2">
        <v>0</v>
      </c>
      <c r="Y50" s="3"/>
      <c r="Z50" s="2">
        <v>0</v>
      </c>
      <c r="AA50" s="3"/>
      <c r="AB50" s="2">
        <v>9965.9500000000007</v>
      </c>
      <c r="AC50" s="3"/>
      <c r="AD50" s="2">
        <v>-9965.9500000000007</v>
      </c>
      <c r="AE50" s="3"/>
      <c r="AF50" s="2">
        <v>0</v>
      </c>
      <c r="AG50" s="3"/>
      <c r="AH50" s="2">
        <v>6732</v>
      </c>
      <c r="AI50" s="3"/>
      <c r="AJ50" s="2">
        <v>-6732</v>
      </c>
      <c r="AK50" s="3"/>
      <c r="AL50" s="2">
        <v>0</v>
      </c>
      <c r="AM50" s="3"/>
      <c r="AN50" s="2">
        <v>0</v>
      </c>
      <c r="AO50" s="3"/>
      <c r="AP50" s="2">
        <v>0</v>
      </c>
      <c r="AQ50" s="3"/>
      <c r="AR50" s="2">
        <v>0</v>
      </c>
      <c r="AS50" s="3"/>
      <c r="AT50" s="2">
        <v>0</v>
      </c>
      <c r="AU50" s="3"/>
      <c r="AV50" s="2">
        <v>0</v>
      </c>
      <c r="AW50" s="3"/>
      <c r="AX50" s="2">
        <v>0</v>
      </c>
      <c r="AY50" s="3"/>
      <c r="AZ50" s="2">
        <v>10215.36</v>
      </c>
      <c r="BA50" s="3"/>
      <c r="BB50" s="2">
        <v>-10215.36</v>
      </c>
      <c r="BC50" s="3"/>
      <c r="BD50" s="2">
        <v>0</v>
      </c>
      <c r="BE50" s="3"/>
      <c r="BF50" s="2">
        <v>0</v>
      </c>
      <c r="BG50" s="3"/>
      <c r="BH50" s="2">
        <v>0</v>
      </c>
      <c r="BI50" s="3"/>
      <c r="BJ50" s="2">
        <v>0</v>
      </c>
      <c r="BK50" s="3"/>
      <c r="BL50" s="2">
        <v>0</v>
      </c>
      <c r="BM50" s="3"/>
      <c r="BN50" s="2">
        <v>0</v>
      </c>
      <c r="BO50" s="3"/>
      <c r="BP50" s="2">
        <v>0</v>
      </c>
      <c r="BQ50" s="3"/>
      <c r="BR50" s="2">
        <v>0</v>
      </c>
      <c r="BS50" s="3"/>
      <c r="BT50" s="2">
        <v>0</v>
      </c>
      <c r="BU50" s="3"/>
      <c r="BV50" s="2">
        <v>0</v>
      </c>
      <c r="BW50" s="3"/>
      <c r="BX50" s="2">
        <v>12828.09</v>
      </c>
      <c r="BY50" s="3"/>
      <c r="BZ50" s="2">
        <v>0</v>
      </c>
      <c r="CA50" s="3"/>
      <c r="CB50" s="2">
        <v>0</v>
      </c>
      <c r="CC50" s="3"/>
      <c r="CD50" s="2">
        <v>0</v>
      </c>
      <c r="CE50" s="3"/>
      <c r="CF50" s="2">
        <v>0</v>
      </c>
      <c r="CG50" s="3"/>
      <c r="CH50" s="2">
        <v>0</v>
      </c>
      <c r="CI50" s="3"/>
      <c r="CJ50" s="2">
        <v>0</v>
      </c>
      <c r="CK50" s="3"/>
      <c r="CL50" s="2">
        <v>0</v>
      </c>
      <c r="CM50" s="3"/>
      <c r="CN50" s="2">
        <v>0</v>
      </c>
      <c r="CO50" s="3"/>
      <c r="CP50" s="2">
        <v>0</v>
      </c>
      <c r="CQ50" s="3"/>
      <c r="CR50" s="2">
        <v>0</v>
      </c>
      <c r="CS50" s="3"/>
      <c r="CT50" s="2">
        <v>0</v>
      </c>
      <c r="CU50" s="3"/>
      <c r="CV50" s="2">
        <v>2528.09</v>
      </c>
      <c r="CW50" s="3"/>
      <c r="CX50" s="2">
        <v>-3706.78</v>
      </c>
      <c r="CY50" s="3"/>
      <c r="CZ50" s="2">
        <v>0</v>
      </c>
      <c r="DA50" s="3"/>
      <c r="DB50" s="2">
        <v>0</v>
      </c>
      <c r="DC50" s="3"/>
      <c r="DD50" s="2">
        <v>0</v>
      </c>
      <c r="DE50" s="3"/>
      <c r="DF50" s="2">
        <v>0</v>
      </c>
      <c r="DG50" s="3"/>
      <c r="DH50" s="2">
        <v>0</v>
      </c>
      <c r="DI50" s="3"/>
      <c r="DJ50" s="2">
        <v>0</v>
      </c>
      <c r="DK50" s="3"/>
      <c r="DL50" s="2">
        <v>0</v>
      </c>
      <c r="DM50" s="3"/>
      <c r="DN50" s="2">
        <v>0</v>
      </c>
      <c r="DO50" s="3"/>
      <c r="DP50" s="2">
        <v>0</v>
      </c>
      <c r="DQ50" s="3"/>
      <c r="DR50" s="2">
        <v>0</v>
      </c>
      <c r="DS50" s="3"/>
      <c r="DT50" s="2">
        <v>10442.16</v>
      </c>
      <c r="DU50" s="3"/>
      <c r="DV50" s="2">
        <v>0</v>
      </c>
      <c r="DW50" s="3"/>
      <c r="DX50" s="2">
        <v>0</v>
      </c>
      <c r="DY50" s="3"/>
      <c r="DZ50" s="2">
        <v>0</v>
      </c>
      <c r="EA50" s="3"/>
      <c r="EB50" s="2">
        <v>0</v>
      </c>
      <c r="EC50" s="3"/>
      <c r="ED50" s="2">
        <v>0</v>
      </c>
      <c r="EE50" s="3"/>
      <c r="EF50" s="2">
        <v>0</v>
      </c>
      <c r="EG50" s="3"/>
      <c r="EH50" s="2">
        <f t="shared" si="2"/>
        <v>15711.6</v>
      </c>
    </row>
    <row r="51" spans="1:138" x14ac:dyDescent="0.45">
      <c r="A51" s="1"/>
      <c r="B51" s="1"/>
      <c r="C51" s="1"/>
      <c r="D51" s="1"/>
      <c r="E51" s="1" t="s">
        <v>116</v>
      </c>
      <c r="F51" s="2">
        <v>0</v>
      </c>
      <c r="G51" s="3"/>
      <c r="H51" s="2">
        <v>0</v>
      </c>
      <c r="I51" s="3"/>
      <c r="J51" s="2">
        <v>0</v>
      </c>
      <c r="K51" s="3"/>
      <c r="L51" s="2">
        <v>9849.9599999999991</v>
      </c>
      <c r="M51" s="3"/>
      <c r="N51" s="2">
        <v>9849.9599999999991</v>
      </c>
      <c r="O51" s="3"/>
      <c r="P51" s="2">
        <v>12312.45</v>
      </c>
      <c r="Q51" s="3"/>
      <c r="R51" s="2">
        <v>12130.96</v>
      </c>
      <c r="S51" s="3"/>
      <c r="T51" s="2">
        <v>13812.45</v>
      </c>
      <c r="U51" s="3"/>
      <c r="V51" s="2">
        <v>9849.9599999999991</v>
      </c>
      <c r="W51" s="3"/>
      <c r="X51" s="2">
        <v>9849.9599999999991</v>
      </c>
      <c r="Y51" s="3"/>
      <c r="Z51" s="2">
        <v>12312.45</v>
      </c>
      <c r="AA51" s="3"/>
      <c r="AB51" s="2">
        <v>9849.9599999999991</v>
      </c>
      <c r="AC51" s="3"/>
      <c r="AD51" s="2">
        <v>10435.83</v>
      </c>
      <c r="AE51" s="3"/>
      <c r="AF51" s="2">
        <v>10431.120000000001</v>
      </c>
      <c r="AG51" s="3"/>
      <c r="AH51" s="2">
        <v>13038.9</v>
      </c>
      <c r="AI51" s="3"/>
      <c r="AJ51" s="2">
        <v>0</v>
      </c>
      <c r="AK51" s="3"/>
      <c r="AL51" s="2">
        <v>0</v>
      </c>
      <c r="AM51" s="3"/>
      <c r="AN51" s="2">
        <v>70471.28</v>
      </c>
      <c r="AO51" s="3"/>
      <c r="AP51" s="2">
        <v>0</v>
      </c>
      <c r="AQ51" s="3"/>
      <c r="AR51" s="2">
        <v>0</v>
      </c>
      <c r="AS51" s="3"/>
      <c r="AT51" s="2">
        <v>0</v>
      </c>
      <c r="AU51" s="3"/>
      <c r="AV51" s="2">
        <v>0</v>
      </c>
      <c r="AW51" s="3"/>
      <c r="AX51" s="2">
        <v>0</v>
      </c>
      <c r="AY51" s="3"/>
      <c r="AZ51" s="2">
        <v>53901.14</v>
      </c>
      <c r="BA51" s="3"/>
      <c r="BB51" s="2">
        <v>0</v>
      </c>
      <c r="BC51" s="3"/>
      <c r="BD51" s="2">
        <v>0</v>
      </c>
      <c r="BE51" s="3"/>
      <c r="BF51" s="2">
        <v>36704.339999999997</v>
      </c>
      <c r="BG51" s="3"/>
      <c r="BH51" s="2">
        <v>0</v>
      </c>
      <c r="BI51" s="3"/>
      <c r="BJ51" s="2">
        <v>0</v>
      </c>
      <c r="BK51" s="3"/>
      <c r="BL51" s="2">
        <v>36775.440000000002</v>
      </c>
      <c r="BM51" s="3"/>
      <c r="BN51" s="2">
        <v>14120.52</v>
      </c>
      <c r="BO51" s="3"/>
      <c r="BP51" s="2">
        <v>0</v>
      </c>
      <c r="BQ51" s="3"/>
      <c r="BR51" s="2">
        <v>0</v>
      </c>
      <c r="BS51" s="3"/>
      <c r="BT51" s="2">
        <v>0</v>
      </c>
      <c r="BU51" s="3"/>
      <c r="BV51" s="2">
        <v>0</v>
      </c>
      <c r="BW51" s="3"/>
      <c r="BX51" s="2">
        <v>62235.360000000001</v>
      </c>
      <c r="BY51" s="3"/>
      <c r="BZ51" s="2">
        <v>0</v>
      </c>
      <c r="CA51" s="3"/>
      <c r="CB51" s="2">
        <v>0</v>
      </c>
      <c r="CC51" s="3"/>
      <c r="CD51" s="2">
        <v>0</v>
      </c>
      <c r="CE51" s="3"/>
      <c r="CF51" s="2">
        <v>0</v>
      </c>
      <c r="CG51" s="3"/>
      <c r="CH51" s="2">
        <v>0</v>
      </c>
      <c r="CI51" s="3"/>
      <c r="CJ51" s="2">
        <v>0</v>
      </c>
      <c r="CK51" s="3"/>
      <c r="CL51" s="2">
        <v>0</v>
      </c>
      <c r="CM51" s="3"/>
      <c r="CN51" s="2">
        <v>0</v>
      </c>
      <c r="CO51" s="3"/>
      <c r="CP51" s="2">
        <v>0</v>
      </c>
      <c r="CQ51" s="3"/>
      <c r="CR51" s="2">
        <v>0</v>
      </c>
      <c r="CS51" s="3"/>
      <c r="CT51" s="2">
        <v>0</v>
      </c>
      <c r="CU51" s="3"/>
      <c r="CV51" s="2">
        <v>156953.73000000001</v>
      </c>
      <c r="CW51" s="3"/>
      <c r="CX51" s="2">
        <v>0</v>
      </c>
      <c r="CY51" s="3"/>
      <c r="CZ51" s="2">
        <v>0</v>
      </c>
      <c r="DA51" s="3"/>
      <c r="DB51" s="2">
        <v>0</v>
      </c>
      <c r="DC51" s="3"/>
      <c r="DD51" s="2">
        <v>0</v>
      </c>
      <c r="DE51" s="3"/>
      <c r="DF51" s="2">
        <v>0</v>
      </c>
      <c r="DG51" s="3"/>
      <c r="DH51" s="2">
        <v>0</v>
      </c>
      <c r="DI51" s="3"/>
      <c r="DJ51" s="2">
        <v>0</v>
      </c>
      <c r="DK51" s="3"/>
      <c r="DL51" s="2">
        <v>0</v>
      </c>
      <c r="DM51" s="3"/>
      <c r="DN51" s="2">
        <v>0</v>
      </c>
      <c r="DO51" s="3"/>
      <c r="DP51" s="2">
        <v>0</v>
      </c>
      <c r="DQ51" s="3"/>
      <c r="DR51" s="2">
        <v>0</v>
      </c>
      <c r="DS51" s="3"/>
      <c r="DT51" s="2">
        <v>129912.64</v>
      </c>
      <c r="DU51" s="3"/>
      <c r="DV51" s="2">
        <v>0</v>
      </c>
      <c r="DW51" s="3"/>
      <c r="DX51" s="2">
        <v>0</v>
      </c>
      <c r="DY51" s="3"/>
      <c r="DZ51" s="2">
        <v>0</v>
      </c>
      <c r="EA51" s="3"/>
      <c r="EB51" s="2">
        <v>0</v>
      </c>
      <c r="EC51" s="3"/>
      <c r="ED51" s="2">
        <v>0</v>
      </c>
      <c r="EE51" s="3"/>
      <c r="EF51" s="2">
        <v>0</v>
      </c>
      <c r="EG51" s="3"/>
      <c r="EH51" s="2">
        <f t="shared" si="2"/>
        <v>694798.41</v>
      </c>
    </row>
    <row r="52" spans="1:138" x14ac:dyDescent="0.45">
      <c r="A52" s="1"/>
      <c r="B52" s="1"/>
      <c r="C52" s="1"/>
      <c r="D52" s="1"/>
      <c r="E52" s="1" t="s">
        <v>117</v>
      </c>
      <c r="F52" s="2">
        <v>278.27999999999997</v>
      </c>
      <c r="G52" s="3"/>
      <c r="H52" s="2">
        <v>217.12</v>
      </c>
      <c r="I52" s="3"/>
      <c r="J52" s="2">
        <v>11528.35</v>
      </c>
      <c r="K52" s="3"/>
      <c r="L52" s="2">
        <v>1028.6099999999999</v>
      </c>
      <c r="M52" s="3"/>
      <c r="N52" s="2">
        <v>2029.11</v>
      </c>
      <c r="O52" s="3"/>
      <c r="P52" s="2">
        <v>4289.17</v>
      </c>
      <c r="Q52" s="3"/>
      <c r="R52" s="2">
        <v>4189.79</v>
      </c>
      <c r="S52" s="3"/>
      <c r="T52" s="2">
        <v>2867.61</v>
      </c>
      <c r="U52" s="3"/>
      <c r="V52" s="2">
        <v>3499.16</v>
      </c>
      <c r="W52" s="3"/>
      <c r="X52" s="2">
        <v>3437.55</v>
      </c>
      <c r="Y52" s="3"/>
      <c r="Z52" s="2">
        <v>4259.0600000000004</v>
      </c>
      <c r="AA52" s="3"/>
      <c r="AB52" s="2">
        <v>3020.31</v>
      </c>
      <c r="AC52" s="3"/>
      <c r="AD52" s="2">
        <v>4352.75</v>
      </c>
      <c r="AE52" s="3"/>
      <c r="AF52" s="2">
        <v>2795.2</v>
      </c>
      <c r="AG52" s="3"/>
      <c r="AH52" s="2">
        <v>4673.91</v>
      </c>
      <c r="AI52" s="3"/>
      <c r="AJ52" s="2">
        <v>5.04</v>
      </c>
      <c r="AK52" s="3"/>
      <c r="AL52" s="2">
        <v>-0.01</v>
      </c>
      <c r="AM52" s="3"/>
      <c r="AN52" s="2">
        <v>12925.75</v>
      </c>
      <c r="AO52" s="3"/>
      <c r="AP52" s="2">
        <v>30.67</v>
      </c>
      <c r="AQ52" s="3"/>
      <c r="AR52" s="2">
        <v>40.869999999999997</v>
      </c>
      <c r="AS52" s="3"/>
      <c r="AT52" s="2">
        <v>12040.83</v>
      </c>
      <c r="AU52" s="3"/>
      <c r="AV52" s="2">
        <v>5.04</v>
      </c>
      <c r="AW52" s="3"/>
      <c r="AX52" s="2">
        <v>2.5099999999999998</v>
      </c>
      <c r="AY52" s="3"/>
      <c r="AZ52" s="2">
        <v>14126.34</v>
      </c>
      <c r="BA52" s="3"/>
      <c r="BB52" s="2">
        <v>421.84</v>
      </c>
      <c r="BC52" s="3"/>
      <c r="BD52" s="2">
        <v>294.11</v>
      </c>
      <c r="BE52" s="3"/>
      <c r="BF52" s="2">
        <v>12893.91</v>
      </c>
      <c r="BG52" s="3"/>
      <c r="BH52" s="2">
        <v>3.21</v>
      </c>
      <c r="BI52" s="3"/>
      <c r="BJ52" s="2">
        <v>3.2</v>
      </c>
      <c r="BK52" s="3"/>
      <c r="BL52" s="2">
        <v>12733.78</v>
      </c>
      <c r="BM52" s="3"/>
      <c r="BN52" s="2">
        <v>4712.05</v>
      </c>
      <c r="BO52" s="3"/>
      <c r="BP52" s="2">
        <v>3.21</v>
      </c>
      <c r="BQ52" s="3"/>
      <c r="BR52" s="2">
        <v>-61.58</v>
      </c>
      <c r="BS52" s="3"/>
      <c r="BT52" s="2">
        <v>0</v>
      </c>
      <c r="BU52" s="3"/>
      <c r="BV52" s="2">
        <v>3.21</v>
      </c>
      <c r="BW52" s="3"/>
      <c r="BX52" s="2">
        <v>29459.23</v>
      </c>
      <c r="BY52" s="3"/>
      <c r="BZ52" s="2">
        <v>512.29999999999995</v>
      </c>
      <c r="CA52" s="3"/>
      <c r="CB52" s="2">
        <v>217.89</v>
      </c>
      <c r="CC52" s="3"/>
      <c r="CD52" s="2">
        <v>88.34</v>
      </c>
      <c r="CE52" s="3"/>
      <c r="CF52" s="2">
        <v>3.31</v>
      </c>
      <c r="CG52" s="3"/>
      <c r="CH52" s="2">
        <v>-40.380000000000003</v>
      </c>
      <c r="CI52" s="3"/>
      <c r="CJ52" s="2">
        <v>0</v>
      </c>
      <c r="CK52" s="3"/>
      <c r="CL52" s="2">
        <v>3.31</v>
      </c>
      <c r="CM52" s="3"/>
      <c r="CN52" s="2">
        <v>3.31</v>
      </c>
      <c r="CO52" s="3"/>
      <c r="CP52" s="2">
        <v>3.31</v>
      </c>
      <c r="CQ52" s="3"/>
      <c r="CR52" s="2">
        <v>3.31</v>
      </c>
      <c r="CS52" s="3"/>
      <c r="CT52" s="2">
        <v>6.62</v>
      </c>
      <c r="CU52" s="3"/>
      <c r="CV52" s="2">
        <v>53392.959999999999</v>
      </c>
      <c r="CW52" s="3"/>
      <c r="CX52" s="2">
        <v>449.12</v>
      </c>
      <c r="CY52" s="3"/>
      <c r="CZ52" s="2">
        <v>255.78</v>
      </c>
      <c r="DA52" s="3"/>
      <c r="DB52" s="2">
        <v>31.68</v>
      </c>
      <c r="DC52" s="3"/>
      <c r="DD52" s="2">
        <v>2.99</v>
      </c>
      <c r="DE52" s="3"/>
      <c r="DF52" s="2">
        <v>-14</v>
      </c>
      <c r="DG52" s="3"/>
      <c r="DH52" s="2">
        <v>40.49</v>
      </c>
      <c r="DI52" s="3"/>
      <c r="DJ52" s="2">
        <v>51.74</v>
      </c>
      <c r="DK52" s="3"/>
      <c r="DL52" s="2">
        <v>12.12</v>
      </c>
      <c r="DM52" s="3"/>
      <c r="DN52" s="2">
        <v>2.99</v>
      </c>
      <c r="DO52" s="3"/>
      <c r="DP52" s="2">
        <v>2.99</v>
      </c>
      <c r="DQ52" s="3"/>
      <c r="DR52" s="2">
        <v>3</v>
      </c>
      <c r="DS52" s="3"/>
      <c r="DT52" s="2">
        <v>52218.06</v>
      </c>
      <c r="DU52" s="3"/>
      <c r="DV52" s="2">
        <v>361.89</v>
      </c>
      <c r="DW52" s="3"/>
      <c r="DX52" s="2">
        <v>254.16</v>
      </c>
      <c r="DY52" s="3"/>
      <c r="DZ52" s="2">
        <v>141.32</v>
      </c>
      <c r="EA52" s="3"/>
      <c r="EB52" s="2">
        <v>3.08</v>
      </c>
      <c r="EC52" s="3"/>
      <c r="ED52" s="2">
        <v>3.08</v>
      </c>
      <c r="EE52" s="3"/>
      <c r="EF52" s="2">
        <v>3.08</v>
      </c>
      <c r="EG52" s="3"/>
      <c r="EH52" s="2">
        <f t="shared" si="2"/>
        <v>260127.04</v>
      </c>
    </row>
    <row r="53" spans="1:138" x14ac:dyDescent="0.45">
      <c r="A53" s="1"/>
      <c r="B53" s="1"/>
      <c r="C53" s="1"/>
      <c r="D53" s="1"/>
      <c r="E53" s="1" t="s">
        <v>118</v>
      </c>
      <c r="F53" s="2">
        <v>0</v>
      </c>
      <c r="G53" s="3"/>
      <c r="H53" s="2">
        <v>0</v>
      </c>
      <c r="I53" s="3"/>
      <c r="J53" s="2">
        <v>0</v>
      </c>
      <c r="K53" s="3"/>
      <c r="L53" s="2">
        <v>0</v>
      </c>
      <c r="M53" s="3"/>
      <c r="N53" s="2">
        <v>0</v>
      </c>
      <c r="O53" s="3"/>
      <c r="P53" s="2">
        <v>0</v>
      </c>
      <c r="Q53" s="3"/>
      <c r="R53" s="2">
        <v>0</v>
      </c>
      <c r="S53" s="3"/>
      <c r="T53" s="2">
        <v>0</v>
      </c>
      <c r="U53" s="3"/>
      <c r="V53" s="2">
        <v>0</v>
      </c>
      <c r="W53" s="3"/>
      <c r="X53" s="2">
        <v>0</v>
      </c>
      <c r="Y53" s="3"/>
      <c r="Z53" s="2">
        <v>0</v>
      </c>
      <c r="AA53" s="3"/>
      <c r="AB53" s="2">
        <v>5847.89</v>
      </c>
      <c r="AC53" s="3"/>
      <c r="AD53" s="2">
        <v>0</v>
      </c>
      <c r="AE53" s="3"/>
      <c r="AF53" s="2">
        <v>735</v>
      </c>
      <c r="AG53" s="3"/>
      <c r="AH53" s="2">
        <v>0</v>
      </c>
      <c r="AI53" s="3"/>
      <c r="AJ53" s="2">
        <v>0</v>
      </c>
      <c r="AK53" s="3"/>
      <c r="AL53" s="2">
        <v>0</v>
      </c>
      <c r="AM53" s="3"/>
      <c r="AN53" s="2">
        <v>0</v>
      </c>
      <c r="AO53" s="3"/>
      <c r="AP53" s="2">
        <v>0</v>
      </c>
      <c r="AQ53" s="3"/>
      <c r="AR53" s="2">
        <v>0</v>
      </c>
      <c r="AS53" s="3"/>
      <c r="AT53" s="2">
        <v>0</v>
      </c>
      <c r="AU53" s="3"/>
      <c r="AV53" s="2">
        <v>0</v>
      </c>
      <c r="AW53" s="3"/>
      <c r="AX53" s="2">
        <v>0</v>
      </c>
      <c r="AY53" s="3"/>
      <c r="AZ53" s="2">
        <v>5281.71</v>
      </c>
      <c r="BA53" s="3"/>
      <c r="BB53" s="2">
        <v>0</v>
      </c>
      <c r="BC53" s="3"/>
      <c r="BD53" s="2">
        <v>0</v>
      </c>
      <c r="BE53" s="3"/>
      <c r="BF53" s="2">
        <v>0</v>
      </c>
      <c r="BG53" s="3"/>
      <c r="BH53" s="2">
        <v>0</v>
      </c>
      <c r="BI53" s="3"/>
      <c r="BJ53" s="2">
        <v>0</v>
      </c>
      <c r="BK53" s="3"/>
      <c r="BL53" s="2">
        <v>0</v>
      </c>
      <c r="BM53" s="3"/>
      <c r="BN53" s="2">
        <v>5188</v>
      </c>
      <c r="BO53" s="3"/>
      <c r="BP53" s="2">
        <v>3585</v>
      </c>
      <c r="BQ53" s="3"/>
      <c r="BR53" s="2">
        <v>0</v>
      </c>
      <c r="BS53" s="3"/>
      <c r="BT53" s="2">
        <v>0</v>
      </c>
      <c r="BU53" s="3"/>
      <c r="BV53" s="2">
        <v>-9560</v>
      </c>
      <c r="BW53" s="3"/>
      <c r="BX53" s="2">
        <v>787</v>
      </c>
      <c r="BY53" s="3"/>
      <c r="BZ53" s="2">
        <v>0</v>
      </c>
      <c r="CA53" s="3"/>
      <c r="CB53" s="2">
        <v>0</v>
      </c>
      <c r="CC53" s="3"/>
      <c r="CD53" s="2">
        <v>0</v>
      </c>
      <c r="CE53" s="3"/>
      <c r="CF53" s="2">
        <v>0</v>
      </c>
      <c r="CG53" s="3"/>
      <c r="CH53" s="2">
        <v>0</v>
      </c>
      <c r="CI53" s="3"/>
      <c r="CJ53" s="2">
        <v>-8141.75</v>
      </c>
      <c r="CK53" s="3"/>
      <c r="CL53" s="2">
        <v>0</v>
      </c>
      <c r="CM53" s="3"/>
      <c r="CN53" s="2">
        <v>0</v>
      </c>
      <c r="CO53" s="3"/>
      <c r="CP53" s="2">
        <v>0</v>
      </c>
      <c r="CQ53" s="3"/>
      <c r="CR53" s="2">
        <v>0</v>
      </c>
      <c r="CS53" s="3"/>
      <c r="CT53" s="2">
        <v>0</v>
      </c>
      <c r="CU53" s="3"/>
      <c r="CV53" s="2">
        <v>14860.82</v>
      </c>
      <c r="CW53" s="3"/>
      <c r="CX53" s="2">
        <v>0</v>
      </c>
      <c r="CY53" s="3"/>
      <c r="CZ53" s="2">
        <v>0</v>
      </c>
      <c r="DA53" s="3"/>
      <c r="DB53" s="2">
        <v>0</v>
      </c>
      <c r="DC53" s="3"/>
      <c r="DD53" s="2">
        <v>0</v>
      </c>
      <c r="DE53" s="3"/>
      <c r="DF53" s="2">
        <v>0</v>
      </c>
      <c r="DG53" s="3"/>
      <c r="DH53" s="2">
        <v>0</v>
      </c>
      <c r="DI53" s="3"/>
      <c r="DJ53" s="2">
        <v>0</v>
      </c>
      <c r="DK53" s="3"/>
      <c r="DL53" s="2">
        <v>0</v>
      </c>
      <c r="DM53" s="3"/>
      <c r="DN53" s="2">
        <v>0</v>
      </c>
      <c r="DO53" s="3"/>
      <c r="DP53" s="2">
        <v>0</v>
      </c>
      <c r="DQ53" s="3"/>
      <c r="DR53" s="2">
        <v>0</v>
      </c>
      <c r="DS53" s="3"/>
      <c r="DT53" s="2">
        <v>13927.47</v>
      </c>
      <c r="DU53" s="3"/>
      <c r="DV53" s="2">
        <v>0</v>
      </c>
      <c r="DW53" s="3"/>
      <c r="DX53" s="2">
        <v>13927.47</v>
      </c>
      <c r="DY53" s="3"/>
      <c r="DZ53" s="2">
        <v>0</v>
      </c>
      <c r="EA53" s="3"/>
      <c r="EB53" s="2">
        <v>0</v>
      </c>
      <c r="EC53" s="3"/>
      <c r="ED53" s="2">
        <v>0</v>
      </c>
      <c r="EE53" s="3"/>
      <c r="EF53" s="2">
        <v>0</v>
      </c>
      <c r="EG53" s="3"/>
      <c r="EH53" s="2">
        <f t="shared" si="2"/>
        <v>46438.61</v>
      </c>
    </row>
    <row r="54" spans="1:138" x14ac:dyDescent="0.45">
      <c r="A54" s="1"/>
      <c r="B54" s="1"/>
      <c r="C54" s="1"/>
      <c r="D54" s="1"/>
      <c r="E54" s="1" t="s">
        <v>119</v>
      </c>
      <c r="F54" s="2">
        <v>67.569999999999993</v>
      </c>
      <c r="G54" s="3"/>
      <c r="H54" s="2">
        <v>0</v>
      </c>
      <c r="I54" s="3"/>
      <c r="J54" s="2">
        <v>0</v>
      </c>
      <c r="K54" s="3"/>
      <c r="L54" s="2">
        <v>0</v>
      </c>
      <c r="M54" s="3"/>
      <c r="N54" s="2">
        <v>0</v>
      </c>
      <c r="O54" s="3"/>
      <c r="P54" s="2">
        <v>0</v>
      </c>
      <c r="Q54" s="3"/>
      <c r="R54" s="2">
        <v>0</v>
      </c>
      <c r="S54" s="3"/>
      <c r="T54" s="2">
        <v>0</v>
      </c>
      <c r="U54" s="3"/>
      <c r="V54" s="2">
        <v>0</v>
      </c>
      <c r="W54" s="3"/>
      <c r="X54" s="2">
        <v>0</v>
      </c>
      <c r="Y54" s="3"/>
      <c r="Z54" s="2">
        <v>0</v>
      </c>
      <c r="AA54" s="3"/>
      <c r="AB54" s="2">
        <v>69.12</v>
      </c>
      <c r="AC54" s="3"/>
      <c r="AD54" s="2">
        <v>0</v>
      </c>
      <c r="AE54" s="3"/>
      <c r="AF54" s="2">
        <v>0</v>
      </c>
      <c r="AG54" s="3"/>
      <c r="AH54" s="2">
        <v>0</v>
      </c>
      <c r="AI54" s="3"/>
      <c r="AJ54" s="2">
        <v>0</v>
      </c>
      <c r="AK54" s="3"/>
      <c r="AL54" s="2">
        <v>0</v>
      </c>
      <c r="AM54" s="3"/>
      <c r="AN54" s="2">
        <v>0</v>
      </c>
      <c r="AO54" s="3"/>
      <c r="AP54" s="2">
        <v>0</v>
      </c>
      <c r="AQ54" s="3"/>
      <c r="AR54" s="2">
        <v>0</v>
      </c>
      <c r="AS54" s="3"/>
      <c r="AT54" s="2">
        <v>0</v>
      </c>
      <c r="AU54" s="3"/>
      <c r="AV54" s="2">
        <v>0</v>
      </c>
      <c r="AW54" s="3"/>
      <c r="AX54" s="2">
        <v>0</v>
      </c>
      <c r="AY54" s="3"/>
      <c r="AZ54" s="2">
        <v>0</v>
      </c>
      <c r="BA54" s="3"/>
      <c r="BB54" s="2">
        <v>0</v>
      </c>
      <c r="BC54" s="3"/>
      <c r="BD54" s="2">
        <v>0</v>
      </c>
      <c r="BE54" s="3"/>
      <c r="BF54" s="2">
        <v>0</v>
      </c>
      <c r="BG54" s="3"/>
      <c r="BH54" s="2">
        <v>0</v>
      </c>
      <c r="BI54" s="3"/>
      <c r="BJ54" s="2">
        <v>0</v>
      </c>
      <c r="BK54" s="3"/>
      <c r="BL54" s="2">
        <v>0</v>
      </c>
      <c r="BM54" s="3"/>
      <c r="BN54" s="2">
        <v>0</v>
      </c>
      <c r="BO54" s="3"/>
      <c r="BP54" s="2">
        <v>0</v>
      </c>
      <c r="BQ54" s="3"/>
      <c r="BR54" s="2">
        <v>0</v>
      </c>
      <c r="BS54" s="3"/>
      <c r="BT54" s="2">
        <v>0</v>
      </c>
      <c r="BU54" s="3"/>
      <c r="BV54" s="2">
        <v>0</v>
      </c>
      <c r="BW54" s="3"/>
      <c r="BX54" s="2">
        <v>0</v>
      </c>
      <c r="BY54" s="3"/>
      <c r="BZ54" s="2">
        <v>0</v>
      </c>
      <c r="CA54" s="3"/>
      <c r="CB54" s="2">
        <v>0</v>
      </c>
      <c r="CC54" s="3"/>
      <c r="CD54" s="2">
        <v>0</v>
      </c>
      <c r="CE54" s="3"/>
      <c r="CF54" s="2">
        <v>0</v>
      </c>
      <c r="CG54" s="3"/>
      <c r="CH54" s="2">
        <v>0</v>
      </c>
      <c r="CI54" s="3"/>
      <c r="CJ54" s="2">
        <v>0</v>
      </c>
      <c r="CK54" s="3"/>
      <c r="CL54" s="2">
        <v>0</v>
      </c>
      <c r="CM54" s="3"/>
      <c r="CN54" s="2">
        <v>0</v>
      </c>
      <c r="CO54" s="3"/>
      <c r="CP54" s="2">
        <v>0</v>
      </c>
      <c r="CQ54" s="3"/>
      <c r="CR54" s="2">
        <v>0</v>
      </c>
      <c r="CS54" s="3"/>
      <c r="CT54" s="2">
        <v>0</v>
      </c>
      <c r="CU54" s="3"/>
      <c r="CV54" s="2">
        <v>0</v>
      </c>
      <c r="CW54" s="3"/>
      <c r="CX54" s="2">
        <v>0</v>
      </c>
      <c r="CY54" s="3"/>
      <c r="CZ54" s="2">
        <v>0</v>
      </c>
      <c r="DA54" s="3"/>
      <c r="DB54" s="2">
        <v>0</v>
      </c>
      <c r="DC54" s="3"/>
      <c r="DD54" s="2">
        <v>0</v>
      </c>
      <c r="DE54" s="3"/>
      <c r="DF54" s="2">
        <v>0</v>
      </c>
      <c r="DG54" s="3"/>
      <c r="DH54" s="2">
        <v>0</v>
      </c>
      <c r="DI54" s="3"/>
      <c r="DJ54" s="2">
        <v>0</v>
      </c>
      <c r="DK54" s="3"/>
      <c r="DL54" s="2">
        <v>0</v>
      </c>
      <c r="DM54" s="3"/>
      <c r="DN54" s="2">
        <v>0</v>
      </c>
      <c r="DO54" s="3"/>
      <c r="DP54" s="2">
        <v>0</v>
      </c>
      <c r="DQ54" s="3"/>
      <c r="DR54" s="2">
        <v>0</v>
      </c>
      <c r="DS54" s="3"/>
      <c r="DT54" s="2">
        <v>0</v>
      </c>
      <c r="DU54" s="3"/>
      <c r="DV54" s="2">
        <v>0</v>
      </c>
      <c r="DW54" s="3"/>
      <c r="DX54" s="2">
        <v>0</v>
      </c>
      <c r="DY54" s="3"/>
      <c r="DZ54" s="2">
        <v>0</v>
      </c>
      <c r="EA54" s="3"/>
      <c r="EB54" s="2">
        <v>0</v>
      </c>
      <c r="EC54" s="3"/>
      <c r="ED54" s="2">
        <v>0</v>
      </c>
      <c r="EE54" s="3"/>
      <c r="EF54" s="2">
        <v>0</v>
      </c>
      <c r="EG54" s="3"/>
      <c r="EH54" s="2">
        <f t="shared" si="2"/>
        <v>136.69</v>
      </c>
    </row>
    <row r="55" spans="1:138" x14ac:dyDescent="0.45">
      <c r="A55" s="1"/>
      <c r="B55" s="1"/>
      <c r="C55" s="1"/>
      <c r="D55" s="1"/>
      <c r="E55" s="1" t="s">
        <v>120</v>
      </c>
      <c r="F55" s="2">
        <v>4903.46</v>
      </c>
      <c r="G55" s="3"/>
      <c r="H55" s="2">
        <v>4921.6400000000003</v>
      </c>
      <c r="I55" s="3"/>
      <c r="J55" s="2">
        <v>7130.93</v>
      </c>
      <c r="K55" s="3"/>
      <c r="L55" s="2">
        <v>16562.03</v>
      </c>
      <c r="M55" s="3"/>
      <c r="N55" s="2">
        <v>16562.03</v>
      </c>
      <c r="O55" s="3"/>
      <c r="P55" s="2">
        <v>20620.560000000001</v>
      </c>
      <c r="Q55" s="3"/>
      <c r="R55" s="2">
        <v>19469.939999999999</v>
      </c>
      <c r="S55" s="3"/>
      <c r="T55" s="2">
        <v>20292.650000000001</v>
      </c>
      <c r="U55" s="3"/>
      <c r="V55" s="2">
        <v>16562.03</v>
      </c>
      <c r="W55" s="3"/>
      <c r="X55" s="2">
        <v>16562.03</v>
      </c>
      <c r="Y55" s="3"/>
      <c r="Z55" s="2">
        <v>20620.560000000001</v>
      </c>
      <c r="AA55" s="3"/>
      <c r="AB55" s="2">
        <v>16889.939999999999</v>
      </c>
      <c r="AC55" s="3"/>
      <c r="AD55" s="2">
        <v>19780.62</v>
      </c>
      <c r="AE55" s="3"/>
      <c r="AF55" s="2">
        <v>17539.22</v>
      </c>
      <c r="AG55" s="3"/>
      <c r="AH55" s="2">
        <v>21837.21</v>
      </c>
      <c r="AI55" s="3"/>
      <c r="AJ55" s="2">
        <v>5212.04</v>
      </c>
      <c r="AK55" s="3"/>
      <c r="AL55" s="2">
        <v>6515.05</v>
      </c>
      <c r="AM55" s="3"/>
      <c r="AN55" s="2">
        <v>88184.08</v>
      </c>
      <c r="AO55" s="3"/>
      <c r="AP55" s="2">
        <v>5212.04</v>
      </c>
      <c r="AQ55" s="3"/>
      <c r="AR55" s="2">
        <v>6515.05</v>
      </c>
      <c r="AS55" s="3"/>
      <c r="AT55" s="2">
        <v>5212.04</v>
      </c>
      <c r="AU55" s="3"/>
      <c r="AV55" s="2">
        <v>5212.04</v>
      </c>
      <c r="AW55" s="3"/>
      <c r="AX55" s="2">
        <v>6515.05</v>
      </c>
      <c r="AY55" s="3"/>
      <c r="AZ55" s="2">
        <v>45535.82</v>
      </c>
      <c r="BA55" s="3"/>
      <c r="BB55" s="2">
        <v>6968.49</v>
      </c>
      <c r="BC55" s="3"/>
      <c r="BD55" s="2">
        <v>5665.48</v>
      </c>
      <c r="BE55" s="3"/>
      <c r="BF55" s="2">
        <v>48828.82</v>
      </c>
      <c r="BG55" s="3"/>
      <c r="BH55" s="2">
        <v>5665.48</v>
      </c>
      <c r="BI55" s="3"/>
      <c r="BJ55" s="2">
        <v>7081.85</v>
      </c>
      <c r="BK55" s="3"/>
      <c r="BL55" s="2">
        <v>49978.48</v>
      </c>
      <c r="BM55" s="3"/>
      <c r="BN55" s="2">
        <v>22234.93</v>
      </c>
      <c r="BO55" s="3"/>
      <c r="BP55" s="2">
        <v>7081.85</v>
      </c>
      <c r="BQ55" s="3"/>
      <c r="BR55" s="2">
        <v>5665.48</v>
      </c>
      <c r="BS55" s="3"/>
      <c r="BT55" s="2">
        <v>7081.85</v>
      </c>
      <c r="BU55" s="3"/>
      <c r="BV55" s="2">
        <v>5665.48</v>
      </c>
      <c r="BW55" s="3"/>
      <c r="BX55" s="2">
        <v>79173.83</v>
      </c>
      <c r="BY55" s="3"/>
      <c r="BZ55" s="2">
        <v>7308.45</v>
      </c>
      <c r="CA55" s="3"/>
      <c r="CB55" s="2">
        <v>5846.76</v>
      </c>
      <c r="CC55" s="3"/>
      <c r="CD55" s="2">
        <v>5846.76</v>
      </c>
      <c r="CE55" s="3"/>
      <c r="CF55" s="2">
        <v>7308.45</v>
      </c>
      <c r="CG55" s="3"/>
      <c r="CH55" s="2">
        <v>5846.76</v>
      </c>
      <c r="CI55" s="3"/>
      <c r="CJ55" s="2">
        <v>5846.76</v>
      </c>
      <c r="CK55" s="3"/>
      <c r="CL55" s="2">
        <v>7308.45</v>
      </c>
      <c r="CM55" s="3"/>
      <c r="CN55" s="2">
        <v>5846.76</v>
      </c>
      <c r="CO55" s="3"/>
      <c r="CP55" s="2">
        <v>5846.76</v>
      </c>
      <c r="CQ55" s="3"/>
      <c r="CR55" s="2">
        <v>7308.45</v>
      </c>
      <c r="CS55" s="3"/>
      <c r="CT55" s="2">
        <v>5846.76</v>
      </c>
      <c r="CU55" s="3"/>
      <c r="CV55" s="2">
        <v>180930.9</v>
      </c>
      <c r="CW55" s="3"/>
      <c r="CX55" s="2">
        <v>5956.41</v>
      </c>
      <c r="CY55" s="3"/>
      <c r="CZ55" s="2">
        <v>5992.96</v>
      </c>
      <c r="DA55" s="3"/>
      <c r="DB55" s="2">
        <v>5992.96</v>
      </c>
      <c r="DC55" s="3"/>
      <c r="DD55" s="2">
        <v>7491.2</v>
      </c>
      <c r="DE55" s="3"/>
      <c r="DF55" s="2">
        <v>5992.96</v>
      </c>
      <c r="DG55" s="3"/>
      <c r="DH55" s="2">
        <v>5992.96</v>
      </c>
      <c r="DI55" s="3"/>
      <c r="DJ55" s="2">
        <v>8989.44</v>
      </c>
      <c r="DK55" s="3"/>
      <c r="DL55" s="2">
        <v>5992.96</v>
      </c>
      <c r="DM55" s="3"/>
      <c r="DN55" s="2">
        <v>7491.2</v>
      </c>
      <c r="DO55" s="3"/>
      <c r="DP55" s="2">
        <v>5992.96</v>
      </c>
      <c r="DQ55" s="3"/>
      <c r="DR55" s="2">
        <v>5992.96</v>
      </c>
      <c r="DS55" s="3"/>
      <c r="DT55" s="2">
        <v>193208.2</v>
      </c>
      <c r="DU55" s="3"/>
      <c r="DV55" s="2">
        <v>4620.57</v>
      </c>
      <c r="DW55" s="3"/>
      <c r="DX55" s="2">
        <v>6160.76</v>
      </c>
      <c r="DY55" s="3"/>
      <c r="DZ55" s="2">
        <v>7700.95</v>
      </c>
      <c r="EA55" s="3"/>
      <c r="EB55" s="2">
        <v>6160.76</v>
      </c>
      <c r="EC55" s="3"/>
      <c r="ED55" s="2">
        <v>6160.76</v>
      </c>
      <c r="EE55" s="3"/>
      <c r="EF55" s="2">
        <v>7700.95</v>
      </c>
      <c r="EG55" s="3"/>
      <c r="EH55" s="2">
        <f t="shared" si="2"/>
        <v>1220144.02</v>
      </c>
    </row>
    <row r="56" spans="1:138" x14ac:dyDescent="0.45">
      <c r="A56" s="1"/>
      <c r="B56" s="1"/>
      <c r="C56" s="1"/>
      <c r="D56" s="1"/>
      <c r="E56" s="1" t="s">
        <v>121</v>
      </c>
      <c r="F56" s="2">
        <v>11593.75</v>
      </c>
      <c r="G56" s="3"/>
      <c r="H56" s="2">
        <v>11640.39</v>
      </c>
      <c r="I56" s="3"/>
      <c r="J56" s="2">
        <v>14468.51</v>
      </c>
      <c r="K56" s="3"/>
      <c r="L56" s="2">
        <v>4788.8100000000004</v>
      </c>
      <c r="M56" s="3"/>
      <c r="N56" s="2">
        <v>4788.8</v>
      </c>
      <c r="O56" s="3"/>
      <c r="P56" s="2">
        <v>5986</v>
      </c>
      <c r="Q56" s="3"/>
      <c r="R56" s="2">
        <v>5879.8</v>
      </c>
      <c r="S56" s="3"/>
      <c r="T56" s="2">
        <v>5866.28</v>
      </c>
      <c r="U56" s="3"/>
      <c r="V56" s="2">
        <v>4279.99</v>
      </c>
      <c r="W56" s="3"/>
      <c r="X56" s="2">
        <v>4669.08</v>
      </c>
      <c r="Y56" s="3"/>
      <c r="Z56" s="2">
        <v>5656.77</v>
      </c>
      <c r="AA56" s="3"/>
      <c r="AB56" s="2">
        <v>4519.43</v>
      </c>
      <c r="AC56" s="3"/>
      <c r="AD56" s="2">
        <v>5001.2</v>
      </c>
      <c r="AE56" s="3"/>
      <c r="AF56" s="2">
        <v>4080.3</v>
      </c>
      <c r="AG56" s="3"/>
      <c r="AH56" s="2">
        <v>6276.6</v>
      </c>
      <c r="AI56" s="3"/>
      <c r="AJ56" s="2">
        <v>28650.44</v>
      </c>
      <c r="AK56" s="3"/>
      <c r="AL56" s="2">
        <v>14974.9</v>
      </c>
      <c r="AM56" s="3"/>
      <c r="AN56" s="2">
        <v>-38179.78</v>
      </c>
      <c r="AO56" s="3"/>
      <c r="AP56" s="2">
        <v>16210.68</v>
      </c>
      <c r="AQ56" s="3"/>
      <c r="AR56" s="2">
        <v>20610.61</v>
      </c>
      <c r="AS56" s="3"/>
      <c r="AT56" s="2">
        <v>16905.2</v>
      </c>
      <c r="AU56" s="3"/>
      <c r="AV56" s="2">
        <v>16905.2</v>
      </c>
      <c r="AW56" s="3"/>
      <c r="AX56" s="2">
        <v>20610.61</v>
      </c>
      <c r="AY56" s="3"/>
      <c r="AZ56" s="2">
        <v>-23756.04</v>
      </c>
      <c r="BA56" s="3"/>
      <c r="BB56" s="2">
        <v>22020.97</v>
      </c>
      <c r="BC56" s="3"/>
      <c r="BD56" s="2">
        <v>17998.29</v>
      </c>
      <c r="BE56" s="3"/>
      <c r="BF56" s="2">
        <v>-25165.05</v>
      </c>
      <c r="BG56" s="3"/>
      <c r="BH56" s="2">
        <v>17998.29</v>
      </c>
      <c r="BI56" s="3"/>
      <c r="BJ56" s="2">
        <v>22403.55</v>
      </c>
      <c r="BK56" s="3"/>
      <c r="BL56" s="2">
        <v>-25455.61</v>
      </c>
      <c r="BM56" s="3"/>
      <c r="BN56" s="2">
        <v>5665.48</v>
      </c>
      <c r="BO56" s="3"/>
      <c r="BP56" s="2">
        <v>22403.55</v>
      </c>
      <c r="BQ56" s="3"/>
      <c r="BR56" s="2">
        <v>18375.54</v>
      </c>
      <c r="BS56" s="3"/>
      <c r="BT56" s="2">
        <v>22026.3</v>
      </c>
      <c r="BU56" s="3"/>
      <c r="BV56" s="2">
        <v>17998.29</v>
      </c>
      <c r="BW56" s="3"/>
      <c r="BX56" s="2">
        <v>-55516.7</v>
      </c>
      <c r="BY56" s="3"/>
      <c r="BZ56" s="2">
        <v>22883.17</v>
      </c>
      <c r="CA56" s="3"/>
      <c r="CB56" s="2">
        <v>18218.29</v>
      </c>
      <c r="CC56" s="3"/>
      <c r="CD56" s="2">
        <v>18574.240000000002</v>
      </c>
      <c r="CE56" s="3"/>
      <c r="CF56" s="2">
        <v>23020.47</v>
      </c>
      <c r="CG56" s="3"/>
      <c r="CH56" s="2">
        <v>18963.560000000001</v>
      </c>
      <c r="CI56" s="3"/>
      <c r="CJ56" s="2">
        <v>18184.919999999998</v>
      </c>
      <c r="CK56" s="3"/>
      <c r="CL56" s="2">
        <v>23120.47</v>
      </c>
      <c r="CM56" s="3"/>
      <c r="CN56" s="2">
        <v>18574.240000000002</v>
      </c>
      <c r="CO56" s="3"/>
      <c r="CP56" s="2">
        <v>18574.240000000002</v>
      </c>
      <c r="CQ56" s="3"/>
      <c r="CR56" s="2">
        <v>23120.47</v>
      </c>
      <c r="CS56" s="3"/>
      <c r="CT56" s="2">
        <v>18963.560000000001</v>
      </c>
      <c r="CU56" s="3"/>
      <c r="CV56" s="2">
        <v>-159222.38</v>
      </c>
      <c r="CW56" s="3"/>
      <c r="CX56" s="2">
        <v>18525.87</v>
      </c>
      <c r="CY56" s="3"/>
      <c r="CZ56" s="2">
        <v>19038.57</v>
      </c>
      <c r="DA56" s="3"/>
      <c r="DB56" s="2">
        <v>19038.57</v>
      </c>
      <c r="DC56" s="3"/>
      <c r="DD56" s="2">
        <v>23698.45</v>
      </c>
      <c r="DE56" s="3"/>
      <c r="DF56" s="2">
        <v>19038.57</v>
      </c>
      <c r="DG56" s="3"/>
      <c r="DH56" s="2">
        <v>20288.57</v>
      </c>
      <c r="DI56" s="3"/>
      <c r="DJ56" s="2">
        <v>22482.29</v>
      </c>
      <c r="DK56" s="3"/>
      <c r="DL56" s="2">
        <v>19038.57</v>
      </c>
      <c r="DM56" s="3"/>
      <c r="DN56" s="2">
        <v>23698.45</v>
      </c>
      <c r="DO56" s="3"/>
      <c r="DP56" s="2">
        <v>19038.57</v>
      </c>
      <c r="DQ56" s="3"/>
      <c r="DR56" s="2">
        <v>19038.57</v>
      </c>
      <c r="DS56" s="3"/>
      <c r="DT56" s="2">
        <v>-158860.39000000001</v>
      </c>
      <c r="DU56" s="3"/>
      <c r="DV56" s="2">
        <v>14825.64</v>
      </c>
      <c r="DW56" s="3"/>
      <c r="DX56" s="2">
        <v>19630.599999999999</v>
      </c>
      <c r="DY56" s="3"/>
      <c r="DZ56" s="2">
        <v>24435.56</v>
      </c>
      <c r="EA56" s="3"/>
      <c r="EB56" s="2">
        <v>19630.599999999999</v>
      </c>
      <c r="EC56" s="3"/>
      <c r="ED56" s="2">
        <v>19630.599999999999</v>
      </c>
      <c r="EE56" s="3"/>
      <c r="EF56" s="2">
        <v>24435.56</v>
      </c>
      <c r="EG56" s="3"/>
      <c r="EH56" s="2">
        <f t="shared" si="2"/>
        <v>482808.9</v>
      </c>
    </row>
    <row r="57" spans="1:138" x14ac:dyDescent="0.45">
      <c r="A57" s="1"/>
      <c r="B57" s="1"/>
      <c r="C57" s="1"/>
      <c r="D57" s="1"/>
      <c r="E57" s="1" t="s">
        <v>122</v>
      </c>
      <c r="F57" s="2">
        <v>10.75</v>
      </c>
      <c r="G57" s="3"/>
      <c r="H57" s="2">
        <v>0</v>
      </c>
      <c r="I57" s="3"/>
      <c r="J57" s="2">
        <v>3.09</v>
      </c>
      <c r="K57" s="3"/>
      <c r="L57" s="2">
        <v>0</v>
      </c>
      <c r="M57" s="3"/>
      <c r="N57" s="2">
        <v>0</v>
      </c>
      <c r="O57" s="3"/>
      <c r="P57" s="2">
        <v>0</v>
      </c>
      <c r="Q57" s="3"/>
      <c r="R57" s="2">
        <v>0</v>
      </c>
      <c r="S57" s="3"/>
      <c r="T57" s="2">
        <v>0</v>
      </c>
      <c r="U57" s="3"/>
      <c r="V57" s="2">
        <v>0</v>
      </c>
      <c r="W57" s="3"/>
      <c r="X57" s="2">
        <v>95.17</v>
      </c>
      <c r="Y57" s="3"/>
      <c r="Z57" s="2">
        <v>0</v>
      </c>
      <c r="AA57" s="3"/>
      <c r="AB57" s="2">
        <v>0</v>
      </c>
      <c r="AC57" s="3"/>
      <c r="AD57" s="2">
        <v>0</v>
      </c>
      <c r="AE57" s="3"/>
      <c r="AF57" s="2">
        <v>0</v>
      </c>
      <c r="AG57" s="3"/>
      <c r="AH57" s="2">
        <v>0</v>
      </c>
      <c r="AI57" s="3"/>
      <c r="AJ57" s="2">
        <v>0</v>
      </c>
      <c r="AK57" s="3"/>
      <c r="AL57" s="2">
        <v>0</v>
      </c>
      <c r="AM57" s="3"/>
      <c r="AN57" s="2">
        <v>0</v>
      </c>
      <c r="AO57" s="3"/>
      <c r="AP57" s="2">
        <v>0</v>
      </c>
      <c r="AQ57" s="3"/>
      <c r="AR57" s="2">
        <v>0</v>
      </c>
      <c r="AS57" s="3"/>
      <c r="AT57" s="2">
        <v>0</v>
      </c>
      <c r="AU57" s="3"/>
      <c r="AV57" s="2">
        <v>0</v>
      </c>
      <c r="AW57" s="3"/>
      <c r="AX57" s="2">
        <v>0</v>
      </c>
      <c r="AY57" s="3"/>
      <c r="AZ57" s="2">
        <v>0</v>
      </c>
      <c r="BA57" s="3"/>
      <c r="BB57" s="2">
        <v>0</v>
      </c>
      <c r="BC57" s="3"/>
      <c r="BD57" s="2">
        <v>0</v>
      </c>
      <c r="BE57" s="3"/>
      <c r="BF57" s="2">
        <v>0</v>
      </c>
      <c r="BG57" s="3"/>
      <c r="BH57" s="2">
        <v>0</v>
      </c>
      <c r="BI57" s="3"/>
      <c r="BJ57" s="2">
        <v>0</v>
      </c>
      <c r="BK57" s="3"/>
      <c r="BL57" s="2">
        <v>0</v>
      </c>
      <c r="BM57" s="3"/>
      <c r="BN57" s="2">
        <v>0</v>
      </c>
      <c r="BO57" s="3"/>
      <c r="BP57" s="2">
        <v>1571.29</v>
      </c>
      <c r="BQ57" s="3"/>
      <c r="BR57" s="2">
        <v>0</v>
      </c>
      <c r="BS57" s="3"/>
      <c r="BT57" s="2">
        <v>0</v>
      </c>
      <c r="BU57" s="3"/>
      <c r="BV57" s="2">
        <v>0</v>
      </c>
      <c r="BW57" s="3"/>
      <c r="BX57" s="2">
        <v>0</v>
      </c>
      <c r="BY57" s="3"/>
      <c r="BZ57" s="2">
        <v>0</v>
      </c>
      <c r="CA57" s="3"/>
      <c r="CB57" s="2">
        <v>0</v>
      </c>
      <c r="CC57" s="3"/>
      <c r="CD57" s="2">
        <v>0</v>
      </c>
      <c r="CE57" s="3"/>
      <c r="CF57" s="2">
        <v>0</v>
      </c>
      <c r="CG57" s="3"/>
      <c r="CH57" s="2">
        <v>0</v>
      </c>
      <c r="CI57" s="3"/>
      <c r="CJ57" s="2">
        <v>0</v>
      </c>
      <c r="CK57" s="3"/>
      <c r="CL57" s="2">
        <v>0</v>
      </c>
      <c r="CM57" s="3"/>
      <c r="CN57" s="2">
        <v>0</v>
      </c>
      <c r="CO57" s="3"/>
      <c r="CP57" s="2">
        <v>0</v>
      </c>
      <c r="CQ57" s="3"/>
      <c r="CR57" s="2">
        <v>0</v>
      </c>
      <c r="CS57" s="3"/>
      <c r="CT57" s="2">
        <v>0</v>
      </c>
      <c r="CU57" s="3"/>
      <c r="CV57" s="2">
        <v>0</v>
      </c>
      <c r="CW57" s="3"/>
      <c r="CX57" s="2">
        <v>0</v>
      </c>
      <c r="CY57" s="3"/>
      <c r="CZ57" s="2">
        <v>0</v>
      </c>
      <c r="DA57" s="3"/>
      <c r="DB57" s="2">
        <v>0</v>
      </c>
      <c r="DC57" s="3"/>
      <c r="DD57" s="2">
        <v>0</v>
      </c>
      <c r="DE57" s="3"/>
      <c r="DF57" s="2">
        <v>0</v>
      </c>
      <c r="DG57" s="3"/>
      <c r="DH57" s="2">
        <v>0</v>
      </c>
      <c r="DI57" s="3"/>
      <c r="DJ57" s="2">
        <v>0</v>
      </c>
      <c r="DK57" s="3"/>
      <c r="DL57" s="2">
        <v>0</v>
      </c>
      <c r="DM57" s="3"/>
      <c r="DN57" s="2">
        <v>0</v>
      </c>
      <c r="DO57" s="3"/>
      <c r="DP57" s="2">
        <v>0</v>
      </c>
      <c r="DQ57" s="3"/>
      <c r="DR57" s="2">
        <v>0</v>
      </c>
      <c r="DS57" s="3"/>
      <c r="DT57" s="2">
        <v>0</v>
      </c>
      <c r="DU57" s="3"/>
      <c r="DV57" s="2">
        <v>0</v>
      </c>
      <c r="DW57" s="3"/>
      <c r="DX57" s="2">
        <v>0</v>
      </c>
      <c r="DY57" s="3"/>
      <c r="DZ57" s="2">
        <v>0</v>
      </c>
      <c r="EA57" s="3"/>
      <c r="EB57" s="2">
        <v>0</v>
      </c>
      <c r="EC57" s="3"/>
      <c r="ED57" s="2">
        <v>0</v>
      </c>
      <c r="EE57" s="3"/>
      <c r="EF57" s="2">
        <v>0</v>
      </c>
      <c r="EG57" s="3"/>
      <c r="EH57" s="2">
        <f t="shared" si="2"/>
        <v>1680.3</v>
      </c>
    </row>
    <row r="58" spans="1:138" x14ac:dyDescent="0.45">
      <c r="A58" s="1"/>
      <c r="B58" s="1"/>
      <c r="C58" s="1"/>
      <c r="D58" s="1"/>
      <c r="E58" s="1" t="s">
        <v>123</v>
      </c>
      <c r="F58" s="2">
        <v>0</v>
      </c>
      <c r="G58" s="3"/>
      <c r="H58" s="2">
        <v>1342.5</v>
      </c>
      <c r="I58" s="3"/>
      <c r="J58" s="2">
        <v>0</v>
      </c>
      <c r="K58" s="3"/>
      <c r="L58" s="2">
        <v>0</v>
      </c>
      <c r="M58" s="3"/>
      <c r="N58" s="2">
        <v>0</v>
      </c>
      <c r="O58" s="3"/>
      <c r="P58" s="2">
        <v>7.9</v>
      </c>
      <c r="Q58" s="3"/>
      <c r="R58" s="2">
        <v>0</v>
      </c>
      <c r="S58" s="3"/>
      <c r="T58" s="2">
        <v>11.99</v>
      </c>
      <c r="U58" s="3"/>
      <c r="V58" s="2">
        <v>0</v>
      </c>
      <c r="W58" s="3"/>
      <c r="X58" s="2">
        <v>0</v>
      </c>
      <c r="Y58" s="3"/>
      <c r="Z58" s="2">
        <v>0</v>
      </c>
      <c r="AA58" s="3"/>
      <c r="AB58" s="2">
        <v>0</v>
      </c>
      <c r="AC58" s="3"/>
      <c r="AD58" s="2">
        <v>0</v>
      </c>
      <c r="AE58" s="3"/>
      <c r="AF58" s="2">
        <v>0</v>
      </c>
      <c r="AG58" s="3"/>
      <c r="AH58" s="2">
        <v>0</v>
      </c>
      <c r="AI58" s="3"/>
      <c r="AJ58" s="2">
        <v>0</v>
      </c>
      <c r="AK58" s="3"/>
      <c r="AL58" s="2">
        <v>0</v>
      </c>
      <c r="AM58" s="3"/>
      <c r="AN58" s="2">
        <v>0</v>
      </c>
      <c r="AO58" s="3"/>
      <c r="AP58" s="2">
        <v>0</v>
      </c>
      <c r="AQ58" s="3"/>
      <c r="AR58" s="2">
        <v>0</v>
      </c>
      <c r="AS58" s="3"/>
      <c r="AT58" s="2">
        <v>0</v>
      </c>
      <c r="AU58" s="3"/>
      <c r="AV58" s="2">
        <v>0</v>
      </c>
      <c r="AW58" s="3"/>
      <c r="AX58" s="2">
        <v>0</v>
      </c>
      <c r="AY58" s="3"/>
      <c r="AZ58" s="2">
        <v>0</v>
      </c>
      <c r="BA58" s="3"/>
      <c r="BB58" s="2">
        <v>0</v>
      </c>
      <c r="BC58" s="3"/>
      <c r="BD58" s="2">
        <v>0</v>
      </c>
      <c r="BE58" s="3"/>
      <c r="BF58" s="2">
        <v>0</v>
      </c>
      <c r="BG58" s="3"/>
      <c r="BH58" s="2">
        <v>0</v>
      </c>
      <c r="BI58" s="3"/>
      <c r="BJ58" s="2">
        <v>0</v>
      </c>
      <c r="BK58" s="3"/>
      <c r="BL58" s="2">
        <v>0</v>
      </c>
      <c r="BM58" s="3"/>
      <c r="BN58" s="2">
        <v>0</v>
      </c>
      <c r="BO58" s="3"/>
      <c r="BP58" s="2">
        <v>0</v>
      </c>
      <c r="BQ58" s="3"/>
      <c r="BR58" s="2">
        <v>0</v>
      </c>
      <c r="BS58" s="3"/>
      <c r="BT58" s="2">
        <v>0</v>
      </c>
      <c r="BU58" s="3"/>
      <c r="BV58" s="2">
        <v>0</v>
      </c>
      <c r="BW58" s="3"/>
      <c r="BX58" s="2">
        <v>0</v>
      </c>
      <c r="BY58" s="3"/>
      <c r="BZ58" s="2">
        <v>0</v>
      </c>
      <c r="CA58" s="3"/>
      <c r="CB58" s="2">
        <v>0</v>
      </c>
      <c r="CC58" s="3"/>
      <c r="CD58" s="2">
        <v>0</v>
      </c>
      <c r="CE58" s="3"/>
      <c r="CF58" s="2">
        <v>0</v>
      </c>
      <c r="CG58" s="3"/>
      <c r="CH58" s="2">
        <v>0</v>
      </c>
      <c r="CI58" s="3"/>
      <c r="CJ58" s="2">
        <v>0</v>
      </c>
      <c r="CK58" s="3"/>
      <c r="CL58" s="2">
        <v>0</v>
      </c>
      <c r="CM58" s="3"/>
      <c r="CN58" s="2">
        <v>0</v>
      </c>
      <c r="CO58" s="3"/>
      <c r="CP58" s="2">
        <v>0</v>
      </c>
      <c r="CQ58" s="3"/>
      <c r="CR58" s="2">
        <v>0</v>
      </c>
      <c r="CS58" s="3"/>
      <c r="CT58" s="2">
        <v>0</v>
      </c>
      <c r="CU58" s="3"/>
      <c r="CV58" s="2">
        <v>0</v>
      </c>
      <c r="CW58" s="3"/>
      <c r="CX58" s="2">
        <v>0</v>
      </c>
      <c r="CY58" s="3"/>
      <c r="CZ58" s="2">
        <v>0</v>
      </c>
      <c r="DA58" s="3"/>
      <c r="DB58" s="2">
        <v>0</v>
      </c>
      <c r="DC58" s="3"/>
      <c r="DD58" s="2">
        <v>0</v>
      </c>
      <c r="DE58" s="3"/>
      <c r="DF58" s="2">
        <v>1657.2</v>
      </c>
      <c r="DG58" s="3"/>
      <c r="DH58" s="2">
        <v>0</v>
      </c>
      <c r="DI58" s="3"/>
      <c r="DJ58" s="2">
        <v>0</v>
      </c>
      <c r="DK58" s="3"/>
      <c r="DL58" s="2">
        <v>0</v>
      </c>
      <c r="DM58" s="3"/>
      <c r="DN58" s="2">
        <v>0</v>
      </c>
      <c r="DO58" s="3"/>
      <c r="DP58" s="2">
        <v>0</v>
      </c>
      <c r="DQ58" s="3"/>
      <c r="DR58" s="2">
        <v>0</v>
      </c>
      <c r="DS58" s="3"/>
      <c r="DT58" s="2">
        <v>0</v>
      </c>
      <c r="DU58" s="3"/>
      <c r="DV58" s="2">
        <v>0</v>
      </c>
      <c r="DW58" s="3"/>
      <c r="DX58" s="2">
        <v>0</v>
      </c>
      <c r="DY58" s="3"/>
      <c r="DZ58" s="2">
        <v>0</v>
      </c>
      <c r="EA58" s="3"/>
      <c r="EB58" s="2">
        <v>0</v>
      </c>
      <c r="EC58" s="3"/>
      <c r="ED58" s="2">
        <v>0</v>
      </c>
      <c r="EE58" s="3"/>
      <c r="EF58" s="2">
        <v>0</v>
      </c>
      <c r="EG58" s="3"/>
      <c r="EH58" s="2">
        <f t="shared" si="2"/>
        <v>3019.59</v>
      </c>
    </row>
    <row r="59" spans="1:138" x14ac:dyDescent="0.45">
      <c r="A59" s="1"/>
      <c r="B59" s="1"/>
      <c r="C59" s="1"/>
      <c r="D59" s="1"/>
      <c r="E59" s="1" t="s">
        <v>124</v>
      </c>
      <c r="F59" s="2">
        <v>0</v>
      </c>
      <c r="G59" s="3"/>
      <c r="H59" s="2">
        <v>0</v>
      </c>
      <c r="I59" s="3"/>
      <c r="J59" s="2">
        <v>0</v>
      </c>
      <c r="K59" s="3"/>
      <c r="L59" s="2">
        <v>0</v>
      </c>
      <c r="M59" s="3"/>
      <c r="N59" s="2">
        <v>0</v>
      </c>
      <c r="O59" s="3"/>
      <c r="P59" s="2">
        <v>0</v>
      </c>
      <c r="Q59" s="3"/>
      <c r="R59" s="2">
        <v>0</v>
      </c>
      <c r="S59" s="3"/>
      <c r="T59" s="2">
        <v>0</v>
      </c>
      <c r="U59" s="3"/>
      <c r="V59" s="2">
        <v>0</v>
      </c>
      <c r="W59" s="3"/>
      <c r="X59" s="2">
        <v>0</v>
      </c>
      <c r="Y59" s="3"/>
      <c r="Z59" s="2">
        <v>0</v>
      </c>
      <c r="AA59" s="3"/>
      <c r="AB59" s="2">
        <v>951</v>
      </c>
      <c r="AC59" s="3"/>
      <c r="AD59" s="2">
        <v>0</v>
      </c>
      <c r="AE59" s="3"/>
      <c r="AF59" s="2">
        <v>0</v>
      </c>
      <c r="AG59" s="3"/>
      <c r="AH59" s="2">
        <v>0</v>
      </c>
      <c r="AI59" s="3"/>
      <c r="AJ59" s="2">
        <v>0</v>
      </c>
      <c r="AK59" s="3"/>
      <c r="AL59" s="2">
        <v>0</v>
      </c>
      <c r="AM59" s="3"/>
      <c r="AN59" s="2">
        <v>0</v>
      </c>
      <c r="AO59" s="3"/>
      <c r="AP59" s="2">
        <v>0</v>
      </c>
      <c r="AQ59" s="3"/>
      <c r="AR59" s="2">
        <v>0</v>
      </c>
      <c r="AS59" s="3"/>
      <c r="AT59" s="2">
        <v>0</v>
      </c>
      <c r="AU59" s="3"/>
      <c r="AV59" s="2">
        <v>0</v>
      </c>
      <c r="AW59" s="3"/>
      <c r="AX59" s="2">
        <v>0</v>
      </c>
      <c r="AY59" s="3"/>
      <c r="AZ59" s="2">
        <v>0</v>
      </c>
      <c r="BA59" s="3"/>
      <c r="BB59" s="2">
        <v>0</v>
      </c>
      <c r="BC59" s="3"/>
      <c r="BD59" s="2">
        <v>0</v>
      </c>
      <c r="BE59" s="3"/>
      <c r="BF59" s="2">
        <v>0</v>
      </c>
      <c r="BG59" s="3"/>
      <c r="BH59" s="2">
        <v>0</v>
      </c>
      <c r="BI59" s="3"/>
      <c r="BJ59" s="2">
        <v>0</v>
      </c>
      <c r="BK59" s="3"/>
      <c r="BL59" s="2">
        <v>0</v>
      </c>
      <c r="BM59" s="3"/>
      <c r="BN59" s="2">
        <v>0</v>
      </c>
      <c r="BO59" s="3"/>
      <c r="BP59" s="2">
        <v>0</v>
      </c>
      <c r="BQ59" s="3"/>
      <c r="BR59" s="2">
        <v>0</v>
      </c>
      <c r="BS59" s="3"/>
      <c r="BT59" s="2">
        <v>0</v>
      </c>
      <c r="BU59" s="3"/>
      <c r="BV59" s="2">
        <v>0</v>
      </c>
      <c r="BW59" s="3"/>
      <c r="BX59" s="2">
        <v>0</v>
      </c>
      <c r="BY59" s="3"/>
      <c r="BZ59" s="2">
        <v>0</v>
      </c>
      <c r="CA59" s="3"/>
      <c r="CB59" s="2">
        <v>0</v>
      </c>
      <c r="CC59" s="3"/>
      <c r="CD59" s="2">
        <v>0</v>
      </c>
      <c r="CE59" s="3"/>
      <c r="CF59" s="2">
        <v>0</v>
      </c>
      <c r="CG59" s="3"/>
      <c r="CH59" s="2">
        <v>0</v>
      </c>
      <c r="CI59" s="3"/>
      <c r="CJ59" s="2">
        <v>0</v>
      </c>
      <c r="CK59" s="3"/>
      <c r="CL59" s="2">
        <v>0</v>
      </c>
      <c r="CM59" s="3"/>
      <c r="CN59" s="2">
        <v>0</v>
      </c>
      <c r="CO59" s="3"/>
      <c r="CP59" s="2">
        <v>0</v>
      </c>
      <c r="CQ59" s="3"/>
      <c r="CR59" s="2">
        <v>0</v>
      </c>
      <c r="CS59" s="3"/>
      <c r="CT59" s="2">
        <v>0</v>
      </c>
      <c r="CU59" s="3"/>
      <c r="CV59" s="2">
        <v>0</v>
      </c>
      <c r="CW59" s="3"/>
      <c r="CX59" s="2">
        <v>0</v>
      </c>
      <c r="CY59" s="3"/>
      <c r="CZ59" s="2">
        <v>0</v>
      </c>
      <c r="DA59" s="3"/>
      <c r="DB59" s="2">
        <v>0</v>
      </c>
      <c r="DC59" s="3"/>
      <c r="DD59" s="2">
        <v>0</v>
      </c>
      <c r="DE59" s="3"/>
      <c r="DF59" s="2">
        <v>0</v>
      </c>
      <c r="DG59" s="3"/>
      <c r="DH59" s="2">
        <v>0</v>
      </c>
      <c r="DI59" s="3"/>
      <c r="DJ59" s="2">
        <v>0</v>
      </c>
      <c r="DK59" s="3"/>
      <c r="DL59" s="2">
        <v>0</v>
      </c>
      <c r="DM59" s="3"/>
      <c r="DN59" s="2">
        <v>0</v>
      </c>
      <c r="DO59" s="3"/>
      <c r="DP59" s="2">
        <v>0</v>
      </c>
      <c r="DQ59" s="3"/>
      <c r="DR59" s="2">
        <v>0</v>
      </c>
      <c r="DS59" s="3"/>
      <c r="DT59" s="2">
        <v>0</v>
      </c>
      <c r="DU59" s="3"/>
      <c r="DV59" s="2">
        <v>0</v>
      </c>
      <c r="DW59" s="3"/>
      <c r="DX59" s="2">
        <v>0</v>
      </c>
      <c r="DY59" s="3"/>
      <c r="DZ59" s="2">
        <v>0</v>
      </c>
      <c r="EA59" s="3"/>
      <c r="EB59" s="2">
        <v>0</v>
      </c>
      <c r="EC59" s="3"/>
      <c r="ED59" s="2">
        <v>0</v>
      </c>
      <c r="EE59" s="3"/>
      <c r="EF59" s="2">
        <v>0</v>
      </c>
      <c r="EG59" s="3"/>
      <c r="EH59" s="2">
        <f t="shared" si="2"/>
        <v>951</v>
      </c>
    </row>
    <row r="60" spans="1:138" x14ac:dyDescent="0.45">
      <c r="A60" s="1"/>
      <c r="B60" s="1"/>
      <c r="C60" s="1"/>
      <c r="D60" s="1"/>
      <c r="E60" s="1" t="s">
        <v>125</v>
      </c>
      <c r="F60" s="2">
        <v>10</v>
      </c>
      <c r="G60" s="3"/>
      <c r="H60" s="2">
        <v>0.5</v>
      </c>
      <c r="I60" s="3"/>
      <c r="J60" s="2">
        <v>0</v>
      </c>
      <c r="K60" s="3"/>
      <c r="L60" s="2">
        <v>0</v>
      </c>
      <c r="M60" s="3"/>
      <c r="N60" s="2">
        <v>0</v>
      </c>
      <c r="O60" s="3"/>
      <c r="P60" s="2">
        <v>0</v>
      </c>
      <c r="Q60" s="3"/>
      <c r="R60" s="2">
        <v>0</v>
      </c>
      <c r="S60" s="3"/>
      <c r="T60" s="2">
        <v>0</v>
      </c>
      <c r="U60" s="3"/>
      <c r="V60" s="2">
        <v>25</v>
      </c>
      <c r="W60" s="3"/>
      <c r="X60" s="2">
        <v>56.42</v>
      </c>
      <c r="Y60" s="3"/>
      <c r="Z60" s="2">
        <v>0</v>
      </c>
      <c r="AA60" s="3"/>
      <c r="AB60" s="2">
        <v>0</v>
      </c>
      <c r="AC60" s="3"/>
      <c r="AD60" s="2">
        <v>17574.78</v>
      </c>
      <c r="AE60" s="3"/>
      <c r="AF60" s="2">
        <v>0</v>
      </c>
      <c r="AG60" s="3"/>
      <c r="AH60" s="2">
        <v>0</v>
      </c>
      <c r="AI60" s="3"/>
      <c r="AJ60" s="2">
        <v>0</v>
      </c>
      <c r="AK60" s="3"/>
      <c r="AL60" s="2">
        <v>3398.84</v>
      </c>
      <c r="AM60" s="3"/>
      <c r="AN60" s="2">
        <v>0</v>
      </c>
      <c r="AO60" s="3"/>
      <c r="AP60" s="2">
        <v>0</v>
      </c>
      <c r="AQ60" s="3"/>
      <c r="AR60" s="2">
        <v>0</v>
      </c>
      <c r="AS60" s="3"/>
      <c r="AT60" s="2">
        <v>0</v>
      </c>
      <c r="AU60" s="3"/>
      <c r="AV60" s="2">
        <v>0</v>
      </c>
      <c r="AW60" s="3"/>
      <c r="AX60" s="2">
        <v>0</v>
      </c>
      <c r="AY60" s="3"/>
      <c r="AZ60" s="2">
        <v>0</v>
      </c>
      <c r="BA60" s="3"/>
      <c r="BB60" s="2">
        <v>0</v>
      </c>
      <c r="BC60" s="3"/>
      <c r="BD60" s="2">
        <v>0</v>
      </c>
      <c r="BE60" s="3"/>
      <c r="BF60" s="2">
        <v>0</v>
      </c>
      <c r="BG60" s="3"/>
      <c r="BH60" s="2">
        <v>0</v>
      </c>
      <c r="BI60" s="3"/>
      <c r="BJ60" s="2">
        <v>0</v>
      </c>
      <c r="BK60" s="3"/>
      <c r="BL60" s="2">
        <v>0</v>
      </c>
      <c r="BM60" s="3"/>
      <c r="BN60" s="2">
        <v>0</v>
      </c>
      <c r="BO60" s="3"/>
      <c r="BP60" s="2">
        <v>0</v>
      </c>
      <c r="BQ60" s="3"/>
      <c r="BR60" s="2">
        <v>312.73</v>
      </c>
      <c r="BS60" s="3"/>
      <c r="BT60" s="2">
        <v>0</v>
      </c>
      <c r="BU60" s="3"/>
      <c r="BV60" s="2">
        <v>0</v>
      </c>
      <c r="BW60" s="3"/>
      <c r="BX60" s="2">
        <v>0</v>
      </c>
      <c r="BY60" s="3"/>
      <c r="BZ60" s="2">
        <v>0</v>
      </c>
      <c r="CA60" s="3"/>
      <c r="CB60" s="2">
        <v>0</v>
      </c>
      <c r="CC60" s="3"/>
      <c r="CD60" s="2">
        <v>0</v>
      </c>
      <c r="CE60" s="3"/>
      <c r="CF60" s="2">
        <v>0</v>
      </c>
      <c r="CG60" s="3"/>
      <c r="CH60" s="2">
        <v>0</v>
      </c>
      <c r="CI60" s="3"/>
      <c r="CJ60" s="2">
        <v>0</v>
      </c>
      <c r="CK60" s="3"/>
      <c r="CL60" s="2">
        <v>0</v>
      </c>
      <c r="CM60" s="3"/>
      <c r="CN60" s="2">
        <v>0</v>
      </c>
      <c r="CO60" s="3"/>
      <c r="CP60" s="2">
        <v>0</v>
      </c>
      <c r="CQ60" s="3"/>
      <c r="CR60" s="2">
        <v>0</v>
      </c>
      <c r="CS60" s="3"/>
      <c r="CT60" s="2">
        <v>0</v>
      </c>
      <c r="CU60" s="3"/>
      <c r="CV60" s="2">
        <v>0</v>
      </c>
      <c r="CW60" s="3"/>
      <c r="CX60" s="2">
        <v>0</v>
      </c>
      <c r="CY60" s="3"/>
      <c r="CZ60" s="2">
        <v>0</v>
      </c>
      <c r="DA60" s="3"/>
      <c r="DB60" s="2">
        <v>0</v>
      </c>
      <c r="DC60" s="3"/>
      <c r="DD60" s="2">
        <v>3941.4</v>
      </c>
      <c r="DE60" s="3"/>
      <c r="DF60" s="2">
        <v>0</v>
      </c>
      <c r="DG60" s="3"/>
      <c r="DH60" s="2">
        <v>0</v>
      </c>
      <c r="DI60" s="3"/>
      <c r="DJ60" s="2">
        <v>0</v>
      </c>
      <c r="DK60" s="3"/>
      <c r="DL60" s="2">
        <v>0</v>
      </c>
      <c r="DM60" s="3"/>
      <c r="DN60" s="2">
        <v>0</v>
      </c>
      <c r="DO60" s="3"/>
      <c r="DP60" s="2">
        <v>0</v>
      </c>
      <c r="DQ60" s="3"/>
      <c r="DR60" s="2">
        <v>0</v>
      </c>
      <c r="DS60" s="3"/>
      <c r="DT60" s="2">
        <v>0</v>
      </c>
      <c r="DU60" s="3"/>
      <c r="DV60" s="2">
        <v>0</v>
      </c>
      <c r="DW60" s="3"/>
      <c r="DX60" s="2">
        <v>0</v>
      </c>
      <c r="DY60" s="3"/>
      <c r="DZ60" s="2">
        <v>0</v>
      </c>
      <c r="EA60" s="3"/>
      <c r="EB60" s="2">
        <v>0</v>
      </c>
      <c r="EC60" s="3"/>
      <c r="ED60" s="2">
        <v>0</v>
      </c>
      <c r="EE60" s="3"/>
      <c r="EF60" s="2">
        <v>0</v>
      </c>
      <c r="EG60" s="3"/>
      <c r="EH60" s="2">
        <f t="shared" si="2"/>
        <v>25319.67</v>
      </c>
    </row>
    <row r="61" spans="1:138" x14ac:dyDescent="0.45">
      <c r="A61" s="1"/>
      <c r="B61" s="1"/>
      <c r="C61" s="1"/>
      <c r="D61" s="1"/>
      <c r="E61" s="1" t="s">
        <v>126</v>
      </c>
      <c r="F61" s="2">
        <v>50</v>
      </c>
      <c r="G61" s="3"/>
      <c r="H61" s="2">
        <v>486.59</v>
      </c>
      <c r="I61" s="3"/>
      <c r="J61" s="2">
        <v>142.56</v>
      </c>
      <c r="K61" s="3"/>
      <c r="L61" s="2">
        <v>1625.3</v>
      </c>
      <c r="M61" s="3"/>
      <c r="N61" s="2">
        <v>99.15</v>
      </c>
      <c r="O61" s="3"/>
      <c r="P61" s="2">
        <v>110.74</v>
      </c>
      <c r="Q61" s="3"/>
      <c r="R61" s="2">
        <v>171.16</v>
      </c>
      <c r="S61" s="3"/>
      <c r="T61" s="2">
        <v>119.87</v>
      </c>
      <c r="U61" s="3"/>
      <c r="V61" s="2">
        <v>162.47</v>
      </c>
      <c r="W61" s="3"/>
      <c r="X61" s="2">
        <v>331.62</v>
      </c>
      <c r="Y61" s="3"/>
      <c r="Z61" s="2">
        <v>117.05</v>
      </c>
      <c r="AA61" s="3"/>
      <c r="AB61" s="2">
        <v>133.71</v>
      </c>
      <c r="AC61" s="3"/>
      <c r="AD61" s="2">
        <v>86.59</v>
      </c>
      <c r="AE61" s="3"/>
      <c r="AF61" s="2">
        <v>1301.8699999999999</v>
      </c>
      <c r="AG61" s="3"/>
      <c r="AH61" s="2">
        <v>453.28</v>
      </c>
      <c r="AI61" s="3"/>
      <c r="AJ61" s="2">
        <v>248.55</v>
      </c>
      <c r="AK61" s="3"/>
      <c r="AL61" s="2">
        <v>122.45</v>
      </c>
      <c r="AM61" s="3"/>
      <c r="AN61" s="2">
        <v>10084.1</v>
      </c>
      <c r="AO61" s="3"/>
      <c r="AP61" s="2">
        <v>122.59</v>
      </c>
      <c r="AQ61" s="3"/>
      <c r="AR61" s="2">
        <v>334.55</v>
      </c>
      <c r="AS61" s="3"/>
      <c r="AT61" s="2">
        <v>50.49</v>
      </c>
      <c r="AU61" s="3"/>
      <c r="AV61" s="2">
        <v>88.32</v>
      </c>
      <c r="AW61" s="3"/>
      <c r="AX61" s="2">
        <v>88.3</v>
      </c>
      <c r="AY61" s="3"/>
      <c r="AZ61" s="2">
        <v>172.6</v>
      </c>
      <c r="BA61" s="3"/>
      <c r="BB61" s="2">
        <v>101.3</v>
      </c>
      <c r="BC61" s="3"/>
      <c r="BD61" s="2">
        <v>239.15</v>
      </c>
      <c r="BE61" s="3"/>
      <c r="BF61" s="2">
        <v>112.45</v>
      </c>
      <c r="BG61" s="3"/>
      <c r="BH61" s="2">
        <v>154.11000000000001</v>
      </c>
      <c r="BI61" s="3"/>
      <c r="BJ61" s="2">
        <v>64.150000000000006</v>
      </c>
      <c r="BK61" s="3"/>
      <c r="BL61" s="2">
        <v>64.150000000000006</v>
      </c>
      <c r="BM61" s="3"/>
      <c r="BN61" s="2">
        <v>0</v>
      </c>
      <c r="BO61" s="3"/>
      <c r="BP61" s="2">
        <v>236.1</v>
      </c>
      <c r="BQ61" s="3"/>
      <c r="BR61" s="2">
        <v>21.3</v>
      </c>
      <c r="BS61" s="3"/>
      <c r="BT61" s="2">
        <v>126.95</v>
      </c>
      <c r="BU61" s="3"/>
      <c r="BV61" s="2">
        <v>6.95</v>
      </c>
      <c r="BW61" s="3"/>
      <c r="BX61" s="2">
        <v>49.59</v>
      </c>
      <c r="BY61" s="3"/>
      <c r="BZ61" s="2">
        <v>78.650000000000006</v>
      </c>
      <c r="CA61" s="3"/>
      <c r="CB61" s="2">
        <v>24.15</v>
      </c>
      <c r="CC61" s="3"/>
      <c r="CD61" s="2">
        <v>37.15</v>
      </c>
      <c r="CE61" s="3"/>
      <c r="CF61" s="2">
        <v>124.75</v>
      </c>
      <c r="CG61" s="3"/>
      <c r="CH61" s="2">
        <v>62.45</v>
      </c>
      <c r="CI61" s="3"/>
      <c r="CJ61" s="2">
        <v>-22.85</v>
      </c>
      <c r="CK61" s="3"/>
      <c r="CL61" s="2">
        <v>30</v>
      </c>
      <c r="CM61" s="3"/>
      <c r="CN61" s="2">
        <v>117.75</v>
      </c>
      <c r="CO61" s="3"/>
      <c r="CP61" s="2">
        <v>23.7</v>
      </c>
      <c r="CQ61" s="3"/>
      <c r="CR61" s="2">
        <v>25.15</v>
      </c>
      <c r="CS61" s="3"/>
      <c r="CT61" s="2">
        <v>-28.85</v>
      </c>
      <c r="CU61" s="3"/>
      <c r="CV61" s="2">
        <v>-48</v>
      </c>
      <c r="CW61" s="3"/>
      <c r="CX61" s="2">
        <v>9.8000000000000007</v>
      </c>
      <c r="CY61" s="3"/>
      <c r="CZ61" s="2">
        <v>159.30000000000001</v>
      </c>
      <c r="DA61" s="3"/>
      <c r="DB61" s="2">
        <v>16.95</v>
      </c>
      <c r="DC61" s="3"/>
      <c r="DD61" s="2">
        <v>45.45</v>
      </c>
      <c r="DE61" s="3"/>
      <c r="DF61" s="2">
        <v>71.45</v>
      </c>
      <c r="DG61" s="3"/>
      <c r="DH61" s="2">
        <v>40</v>
      </c>
      <c r="DI61" s="3"/>
      <c r="DJ61" s="2">
        <v>232.43</v>
      </c>
      <c r="DK61" s="3"/>
      <c r="DL61" s="2">
        <v>403.5</v>
      </c>
      <c r="DM61" s="3"/>
      <c r="DN61" s="2">
        <v>-28.96</v>
      </c>
      <c r="DO61" s="3"/>
      <c r="DP61" s="2">
        <v>1953.59</v>
      </c>
      <c r="DQ61" s="3"/>
      <c r="DR61" s="2">
        <v>20.3</v>
      </c>
      <c r="DS61" s="3"/>
      <c r="DT61" s="2">
        <v>239.15</v>
      </c>
      <c r="DU61" s="3"/>
      <c r="DV61" s="2">
        <v>991.25</v>
      </c>
      <c r="DW61" s="3"/>
      <c r="DX61" s="2">
        <v>501.3</v>
      </c>
      <c r="DY61" s="3"/>
      <c r="DZ61" s="2">
        <v>-5</v>
      </c>
      <c r="EA61" s="3"/>
      <c r="EB61" s="2">
        <v>431.01</v>
      </c>
      <c r="EC61" s="3"/>
      <c r="ED61" s="2">
        <v>259.92</v>
      </c>
      <c r="EE61" s="3"/>
      <c r="EF61" s="2">
        <v>273.60000000000002</v>
      </c>
      <c r="EG61" s="3"/>
      <c r="EH61" s="2">
        <f t="shared" si="2"/>
        <v>23919.200000000001</v>
      </c>
    </row>
    <row r="62" spans="1:138" x14ac:dyDescent="0.45">
      <c r="A62" s="1"/>
      <c r="B62" s="1"/>
      <c r="C62" s="1"/>
      <c r="D62" s="1"/>
      <c r="E62" s="1" t="s">
        <v>127</v>
      </c>
      <c r="F62" s="2">
        <v>0</v>
      </c>
      <c r="G62" s="3"/>
      <c r="H62" s="2">
        <v>0</v>
      </c>
      <c r="I62" s="3"/>
      <c r="J62" s="2">
        <v>0</v>
      </c>
      <c r="K62" s="3"/>
      <c r="L62" s="2">
        <v>0</v>
      </c>
      <c r="M62" s="3"/>
      <c r="N62" s="2">
        <v>0</v>
      </c>
      <c r="O62" s="3"/>
      <c r="P62" s="2">
        <v>600</v>
      </c>
      <c r="Q62" s="3"/>
      <c r="R62" s="2">
        <v>0</v>
      </c>
      <c r="S62" s="3"/>
      <c r="T62" s="2">
        <v>0</v>
      </c>
      <c r="U62" s="3"/>
      <c r="V62" s="2">
        <v>0</v>
      </c>
      <c r="W62" s="3"/>
      <c r="X62" s="2">
        <v>600</v>
      </c>
      <c r="Y62" s="3"/>
      <c r="Z62" s="2">
        <v>0</v>
      </c>
      <c r="AA62" s="3"/>
      <c r="AB62" s="2">
        <v>0</v>
      </c>
      <c r="AC62" s="3"/>
      <c r="AD62" s="2">
        <v>0</v>
      </c>
      <c r="AE62" s="3"/>
      <c r="AF62" s="2">
        <v>0</v>
      </c>
      <c r="AG62" s="3"/>
      <c r="AH62" s="2">
        <v>0</v>
      </c>
      <c r="AI62" s="3"/>
      <c r="AJ62" s="2">
        <v>0</v>
      </c>
      <c r="AK62" s="3"/>
      <c r="AL62" s="2">
        <v>0</v>
      </c>
      <c r="AM62" s="3"/>
      <c r="AN62" s="2">
        <v>0</v>
      </c>
      <c r="AO62" s="3"/>
      <c r="AP62" s="2">
        <v>0</v>
      </c>
      <c r="AQ62" s="3"/>
      <c r="AR62" s="2">
        <v>0</v>
      </c>
      <c r="AS62" s="3"/>
      <c r="AT62" s="2">
        <v>1200</v>
      </c>
      <c r="AU62" s="3"/>
      <c r="AV62" s="2">
        <v>0</v>
      </c>
      <c r="AW62" s="3"/>
      <c r="AX62" s="2">
        <v>0</v>
      </c>
      <c r="AY62" s="3"/>
      <c r="AZ62" s="2">
        <v>0</v>
      </c>
      <c r="BA62" s="3"/>
      <c r="BB62" s="2">
        <v>600</v>
      </c>
      <c r="BC62" s="3"/>
      <c r="BD62" s="2">
        <v>0</v>
      </c>
      <c r="BE62" s="3"/>
      <c r="BF62" s="2">
        <v>0</v>
      </c>
      <c r="BG62" s="3"/>
      <c r="BH62" s="2">
        <v>0</v>
      </c>
      <c r="BI62" s="3"/>
      <c r="BJ62" s="2">
        <v>0</v>
      </c>
      <c r="BK62" s="3"/>
      <c r="BL62" s="2">
        <v>0</v>
      </c>
      <c r="BM62" s="3"/>
      <c r="BN62" s="2">
        <v>0</v>
      </c>
      <c r="BO62" s="3"/>
      <c r="BP62" s="2">
        <v>0</v>
      </c>
      <c r="BQ62" s="3"/>
      <c r="BR62" s="2">
        <v>0</v>
      </c>
      <c r="BS62" s="3"/>
      <c r="BT62" s="2">
        <v>0</v>
      </c>
      <c r="BU62" s="3"/>
      <c r="BV62" s="2">
        <v>0</v>
      </c>
      <c r="BW62" s="3"/>
      <c r="BX62" s="2">
        <v>0</v>
      </c>
      <c r="BY62" s="3"/>
      <c r="BZ62" s="2">
        <v>0</v>
      </c>
      <c r="CA62" s="3"/>
      <c r="CB62" s="2">
        <v>0</v>
      </c>
      <c r="CC62" s="3"/>
      <c r="CD62" s="2">
        <v>0</v>
      </c>
      <c r="CE62" s="3"/>
      <c r="CF62" s="2">
        <v>0</v>
      </c>
      <c r="CG62" s="3"/>
      <c r="CH62" s="2">
        <v>0</v>
      </c>
      <c r="CI62" s="3"/>
      <c r="CJ62" s="2">
        <v>600</v>
      </c>
      <c r="CK62" s="3"/>
      <c r="CL62" s="2">
        <v>0</v>
      </c>
      <c r="CM62" s="3"/>
      <c r="CN62" s="2">
        <v>0</v>
      </c>
      <c r="CO62" s="3"/>
      <c r="CP62" s="2">
        <v>0</v>
      </c>
      <c r="CQ62" s="3"/>
      <c r="CR62" s="2">
        <v>0</v>
      </c>
      <c r="CS62" s="3"/>
      <c r="CT62" s="2">
        <v>0</v>
      </c>
      <c r="CU62" s="3"/>
      <c r="CV62" s="2">
        <v>0</v>
      </c>
      <c r="CW62" s="3"/>
      <c r="CX62" s="2">
        <v>0</v>
      </c>
      <c r="CY62" s="3"/>
      <c r="CZ62" s="2">
        <v>0</v>
      </c>
      <c r="DA62" s="3"/>
      <c r="DB62" s="2">
        <v>0</v>
      </c>
      <c r="DC62" s="3"/>
      <c r="DD62" s="2">
        <v>0</v>
      </c>
      <c r="DE62" s="3"/>
      <c r="DF62" s="2">
        <v>0</v>
      </c>
      <c r="DG62" s="3"/>
      <c r="DH62" s="2">
        <v>0</v>
      </c>
      <c r="DI62" s="3"/>
      <c r="DJ62" s="2">
        <v>0</v>
      </c>
      <c r="DK62" s="3"/>
      <c r="DL62" s="2">
        <v>0</v>
      </c>
      <c r="DM62" s="3"/>
      <c r="DN62" s="2">
        <v>0</v>
      </c>
      <c r="DO62" s="3"/>
      <c r="DP62" s="2">
        <v>600</v>
      </c>
      <c r="DQ62" s="3"/>
      <c r="DR62" s="2">
        <v>0</v>
      </c>
      <c r="DS62" s="3"/>
      <c r="DT62" s="2">
        <v>0</v>
      </c>
      <c r="DU62" s="3"/>
      <c r="DV62" s="2">
        <v>0</v>
      </c>
      <c r="DW62" s="3"/>
      <c r="DX62" s="2">
        <v>0</v>
      </c>
      <c r="DY62" s="3"/>
      <c r="DZ62" s="2">
        <v>0</v>
      </c>
      <c r="EA62" s="3"/>
      <c r="EB62" s="2">
        <v>0</v>
      </c>
      <c r="EC62" s="3"/>
      <c r="ED62" s="2">
        <v>0</v>
      </c>
      <c r="EE62" s="3"/>
      <c r="EF62" s="2">
        <v>0</v>
      </c>
      <c r="EG62" s="3"/>
      <c r="EH62" s="2">
        <f t="shared" si="2"/>
        <v>4200</v>
      </c>
    </row>
    <row r="63" spans="1:138" x14ac:dyDescent="0.45">
      <c r="A63" s="1"/>
      <c r="B63" s="1"/>
      <c r="C63" s="1"/>
      <c r="D63" s="1"/>
      <c r="E63" s="1" t="s">
        <v>128</v>
      </c>
      <c r="F63" s="2">
        <v>0</v>
      </c>
      <c r="G63" s="3"/>
      <c r="H63" s="2">
        <v>0</v>
      </c>
      <c r="I63" s="3"/>
      <c r="J63" s="2">
        <v>0</v>
      </c>
      <c r="K63" s="3"/>
      <c r="L63" s="2">
        <v>0</v>
      </c>
      <c r="M63" s="3"/>
      <c r="N63" s="2">
        <v>0</v>
      </c>
      <c r="O63" s="3"/>
      <c r="P63" s="2">
        <v>0</v>
      </c>
      <c r="Q63" s="3"/>
      <c r="R63" s="2">
        <v>0</v>
      </c>
      <c r="S63" s="3"/>
      <c r="T63" s="2">
        <v>0</v>
      </c>
      <c r="U63" s="3"/>
      <c r="V63" s="2">
        <v>0</v>
      </c>
      <c r="W63" s="3"/>
      <c r="X63" s="2">
        <v>0</v>
      </c>
      <c r="Y63" s="3"/>
      <c r="Z63" s="2">
        <v>0</v>
      </c>
      <c r="AA63" s="3"/>
      <c r="AB63" s="2">
        <v>0</v>
      </c>
      <c r="AC63" s="3"/>
      <c r="AD63" s="2">
        <v>0</v>
      </c>
      <c r="AE63" s="3"/>
      <c r="AF63" s="2">
        <v>0</v>
      </c>
      <c r="AG63" s="3"/>
      <c r="AH63" s="2">
        <v>0</v>
      </c>
      <c r="AI63" s="3"/>
      <c r="AJ63" s="2">
        <v>0</v>
      </c>
      <c r="AK63" s="3"/>
      <c r="AL63" s="2">
        <v>0</v>
      </c>
      <c r="AM63" s="3"/>
      <c r="AN63" s="2">
        <v>0</v>
      </c>
      <c r="AO63" s="3"/>
      <c r="AP63" s="2">
        <v>0</v>
      </c>
      <c r="AQ63" s="3"/>
      <c r="AR63" s="2">
        <v>0</v>
      </c>
      <c r="AS63" s="3"/>
      <c r="AT63" s="2">
        <v>0</v>
      </c>
      <c r="AU63" s="3"/>
      <c r="AV63" s="2">
        <v>0</v>
      </c>
      <c r="AW63" s="3"/>
      <c r="AX63" s="2">
        <v>0</v>
      </c>
      <c r="AY63" s="3"/>
      <c r="AZ63" s="2">
        <v>-624.58000000000004</v>
      </c>
      <c r="BA63" s="3"/>
      <c r="BB63" s="2">
        <v>0</v>
      </c>
      <c r="BC63" s="3"/>
      <c r="BD63" s="2">
        <v>0</v>
      </c>
      <c r="BE63" s="3"/>
      <c r="BF63" s="2">
        <v>0</v>
      </c>
      <c r="BG63" s="3"/>
      <c r="BH63" s="2">
        <v>0</v>
      </c>
      <c r="BI63" s="3"/>
      <c r="BJ63" s="2">
        <v>0</v>
      </c>
      <c r="BK63" s="3"/>
      <c r="BL63" s="2">
        <v>0</v>
      </c>
      <c r="BM63" s="3"/>
      <c r="BN63" s="2">
        <v>0</v>
      </c>
      <c r="BO63" s="3"/>
      <c r="BP63" s="2">
        <v>0</v>
      </c>
      <c r="BQ63" s="3"/>
      <c r="BR63" s="2">
        <v>0</v>
      </c>
      <c r="BS63" s="3"/>
      <c r="BT63" s="2">
        <v>0</v>
      </c>
      <c r="BU63" s="3"/>
      <c r="BV63" s="2">
        <v>0</v>
      </c>
      <c r="BW63" s="3"/>
      <c r="BX63" s="2">
        <v>0</v>
      </c>
      <c r="BY63" s="3"/>
      <c r="BZ63" s="2">
        <v>0</v>
      </c>
      <c r="CA63" s="3"/>
      <c r="CB63" s="2">
        <v>0</v>
      </c>
      <c r="CC63" s="3"/>
      <c r="CD63" s="2">
        <v>0</v>
      </c>
      <c r="CE63" s="3"/>
      <c r="CF63" s="2">
        <v>0</v>
      </c>
      <c r="CG63" s="3"/>
      <c r="CH63" s="2">
        <v>0</v>
      </c>
      <c r="CI63" s="3"/>
      <c r="CJ63" s="2">
        <v>0</v>
      </c>
      <c r="CK63" s="3"/>
      <c r="CL63" s="2">
        <v>0</v>
      </c>
      <c r="CM63" s="3"/>
      <c r="CN63" s="2">
        <v>0</v>
      </c>
      <c r="CO63" s="3"/>
      <c r="CP63" s="2">
        <v>0</v>
      </c>
      <c r="CQ63" s="3"/>
      <c r="CR63" s="2">
        <v>0</v>
      </c>
      <c r="CS63" s="3"/>
      <c r="CT63" s="2">
        <v>0</v>
      </c>
      <c r="CU63" s="3"/>
      <c r="CV63" s="2">
        <v>0</v>
      </c>
      <c r="CW63" s="3"/>
      <c r="CX63" s="2">
        <v>0</v>
      </c>
      <c r="CY63" s="3"/>
      <c r="CZ63" s="2">
        <v>0</v>
      </c>
      <c r="DA63" s="3"/>
      <c r="DB63" s="2">
        <v>0</v>
      </c>
      <c r="DC63" s="3"/>
      <c r="DD63" s="2">
        <v>0</v>
      </c>
      <c r="DE63" s="3"/>
      <c r="DF63" s="2">
        <v>0</v>
      </c>
      <c r="DG63" s="3"/>
      <c r="DH63" s="2">
        <v>0</v>
      </c>
      <c r="DI63" s="3"/>
      <c r="DJ63" s="2">
        <v>0</v>
      </c>
      <c r="DK63" s="3"/>
      <c r="DL63" s="2">
        <v>0</v>
      </c>
      <c r="DM63" s="3"/>
      <c r="DN63" s="2">
        <v>0</v>
      </c>
      <c r="DO63" s="3"/>
      <c r="DP63" s="2">
        <v>0</v>
      </c>
      <c r="DQ63" s="3"/>
      <c r="DR63" s="2">
        <v>0</v>
      </c>
      <c r="DS63" s="3"/>
      <c r="DT63" s="2">
        <v>0</v>
      </c>
      <c r="DU63" s="3"/>
      <c r="DV63" s="2">
        <v>0</v>
      </c>
      <c r="DW63" s="3"/>
      <c r="DX63" s="2">
        <v>0</v>
      </c>
      <c r="DY63" s="3"/>
      <c r="DZ63" s="2">
        <v>0</v>
      </c>
      <c r="EA63" s="3"/>
      <c r="EB63" s="2">
        <v>0</v>
      </c>
      <c r="EC63" s="3"/>
      <c r="ED63" s="2">
        <v>0</v>
      </c>
      <c r="EE63" s="3"/>
      <c r="EF63" s="2">
        <v>0</v>
      </c>
      <c r="EG63" s="3"/>
      <c r="EH63" s="2">
        <f t="shared" si="2"/>
        <v>-624.58000000000004</v>
      </c>
    </row>
    <row r="64" spans="1:138" x14ac:dyDescent="0.45">
      <c r="A64" s="1"/>
      <c r="B64" s="1"/>
      <c r="C64" s="1"/>
      <c r="D64" s="1"/>
      <c r="E64" s="1" t="s">
        <v>129</v>
      </c>
      <c r="F64" s="2">
        <v>0</v>
      </c>
      <c r="G64" s="3"/>
      <c r="H64" s="2">
        <v>0</v>
      </c>
      <c r="I64" s="3"/>
      <c r="J64" s="2">
        <v>800.5</v>
      </c>
      <c r="K64" s="3"/>
      <c r="L64" s="2">
        <v>0</v>
      </c>
      <c r="M64" s="3"/>
      <c r="N64" s="2">
        <v>370.5</v>
      </c>
      <c r="O64" s="3"/>
      <c r="P64" s="2">
        <v>65.5</v>
      </c>
      <c r="Q64" s="3"/>
      <c r="R64" s="2">
        <v>0</v>
      </c>
      <c r="S64" s="3"/>
      <c r="T64" s="2">
        <v>65.5</v>
      </c>
      <c r="U64" s="3"/>
      <c r="V64" s="2">
        <v>0</v>
      </c>
      <c r="W64" s="3"/>
      <c r="X64" s="2">
        <v>65.5</v>
      </c>
      <c r="Y64" s="3"/>
      <c r="Z64" s="2">
        <v>0</v>
      </c>
      <c r="AA64" s="3"/>
      <c r="AB64" s="2">
        <v>705.5</v>
      </c>
      <c r="AC64" s="3"/>
      <c r="AD64" s="2">
        <v>77.5</v>
      </c>
      <c r="AE64" s="3"/>
      <c r="AF64" s="2">
        <v>910.26</v>
      </c>
      <c r="AG64" s="3"/>
      <c r="AH64" s="2">
        <v>0</v>
      </c>
      <c r="AI64" s="3"/>
      <c r="AJ64" s="2">
        <v>0</v>
      </c>
      <c r="AK64" s="3"/>
      <c r="AL64" s="2">
        <v>0</v>
      </c>
      <c r="AM64" s="3"/>
      <c r="AN64" s="2">
        <v>151.5</v>
      </c>
      <c r="AO64" s="3"/>
      <c r="AP64" s="2">
        <v>0</v>
      </c>
      <c r="AQ64" s="3"/>
      <c r="AR64" s="2">
        <v>0</v>
      </c>
      <c r="AS64" s="3"/>
      <c r="AT64" s="2">
        <v>93.5</v>
      </c>
      <c r="AU64" s="3"/>
      <c r="AV64" s="2">
        <v>0</v>
      </c>
      <c r="AW64" s="3"/>
      <c r="AX64" s="2">
        <v>973.6</v>
      </c>
      <c r="AY64" s="3"/>
      <c r="AZ64" s="2">
        <v>93.5</v>
      </c>
      <c r="BA64" s="3"/>
      <c r="BB64" s="2">
        <v>93.5</v>
      </c>
      <c r="BC64" s="3"/>
      <c r="BD64" s="2">
        <v>0</v>
      </c>
      <c r="BE64" s="3"/>
      <c r="BF64" s="2">
        <v>838.5</v>
      </c>
      <c r="BG64" s="3"/>
      <c r="BH64" s="2">
        <v>99.5</v>
      </c>
      <c r="BI64" s="3"/>
      <c r="BJ64" s="2">
        <v>67.16</v>
      </c>
      <c r="BK64" s="3"/>
      <c r="BL64" s="2">
        <v>633.66</v>
      </c>
      <c r="BM64" s="3"/>
      <c r="BN64" s="2">
        <v>100.99</v>
      </c>
      <c r="BO64" s="3"/>
      <c r="BP64" s="2">
        <v>100.99</v>
      </c>
      <c r="BQ64" s="3"/>
      <c r="BR64" s="2">
        <v>0</v>
      </c>
      <c r="BS64" s="3"/>
      <c r="BT64" s="2">
        <v>100.99</v>
      </c>
      <c r="BU64" s="3"/>
      <c r="BV64" s="2">
        <v>1190.99</v>
      </c>
      <c r="BW64" s="3"/>
      <c r="BX64" s="2">
        <v>0</v>
      </c>
      <c r="BY64" s="3"/>
      <c r="BZ64" s="2">
        <v>102.99</v>
      </c>
      <c r="CA64" s="3"/>
      <c r="CB64" s="2">
        <v>902.99</v>
      </c>
      <c r="CC64" s="3"/>
      <c r="CD64" s="2">
        <v>9.4</v>
      </c>
      <c r="CE64" s="3"/>
      <c r="CF64" s="2">
        <v>102.99</v>
      </c>
      <c r="CG64" s="3"/>
      <c r="CH64" s="2">
        <v>453.99</v>
      </c>
      <c r="CI64" s="3"/>
      <c r="CJ64" s="2">
        <v>231.99</v>
      </c>
      <c r="CK64" s="3"/>
      <c r="CL64" s="2">
        <v>0</v>
      </c>
      <c r="CM64" s="3"/>
      <c r="CN64" s="2">
        <v>102.99</v>
      </c>
      <c r="CO64" s="3"/>
      <c r="CP64" s="2">
        <v>0</v>
      </c>
      <c r="CQ64" s="3"/>
      <c r="CR64" s="2">
        <v>143.22</v>
      </c>
      <c r="CS64" s="3"/>
      <c r="CT64" s="2">
        <v>124</v>
      </c>
      <c r="CU64" s="3"/>
      <c r="CV64" s="2">
        <v>2040.23</v>
      </c>
      <c r="CW64" s="3"/>
      <c r="CX64" s="2">
        <v>0</v>
      </c>
      <c r="CY64" s="3"/>
      <c r="CZ64" s="2">
        <v>0</v>
      </c>
      <c r="DA64" s="3"/>
      <c r="DB64" s="2">
        <v>0</v>
      </c>
      <c r="DC64" s="3"/>
      <c r="DD64" s="2">
        <v>292.14999999999998</v>
      </c>
      <c r="DE64" s="3"/>
      <c r="DF64" s="2">
        <v>0</v>
      </c>
      <c r="DG64" s="3"/>
      <c r="DH64" s="2">
        <v>844</v>
      </c>
      <c r="DI64" s="3"/>
      <c r="DJ64" s="2">
        <v>0</v>
      </c>
      <c r="DK64" s="3"/>
      <c r="DL64" s="2">
        <v>0</v>
      </c>
      <c r="DM64" s="3"/>
      <c r="DN64" s="2">
        <v>1279.5</v>
      </c>
      <c r="DO64" s="3"/>
      <c r="DP64" s="2">
        <v>0</v>
      </c>
      <c r="DQ64" s="3"/>
      <c r="DR64" s="2">
        <v>0</v>
      </c>
      <c r="DS64" s="3"/>
      <c r="DT64" s="2">
        <v>0</v>
      </c>
      <c r="DU64" s="3"/>
      <c r="DV64" s="2">
        <v>60.58</v>
      </c>
      <c r="DW64" s="3"/>
      <c r="DX64" s="2">
        <v>875.5</v>
      </c>
      <c r="DY64" s="3"/>
      <c r="DZ64" s="2">
        <v>0</v>
      </c>
      <c r="EA64" s="3"/>
      <c r="EB64" s="2">
        <v>297.45999999999998</v>
      </c>
      <c r="EC64" s="3"/>
      <c r="ED64" s="2">
        <v>400</v>
      </c>
      <c r="EE64" s="3"/>
      <c r="EF64" s="2">
        <v>488</v>
      </c>
      <c r="EG64" s="3"/>
      <c r="EH64" s="2">
        <f t="shared" si="2"/>
        <v>16351.12</v>
      </c>
    </row>
    <row r="65" spans="1:138" x14ac:dyDescent="0.45">
      <c r="A65" s="1"/>
      <c r="B65" s="1"/>
      <c r="C65" s="1"/>
      <c r="D65" s="1"/>
      <c r="E65" s="1" t="s">
        <v>130</v>
      </c>
      <c r="F65" s="2">
        <v>0</v>
      </c>
      <c r="G65" s="3"/>
      <c r="H65" s="2">
        <v>0</v>
      </c>
      <c r="I65" s="3"/>
      <c r="J65" s="2">
        <v>0</v>
      </c>
      <c r="K65" s="3"/>
      <c r="L65" s="2">
        <v>0</v>
      </c>
      <c r="M65" s="3"/>
      <c r="N65" s="2">
        <v>0</v>
      </c>
      <c r="O65" s="3"/>
      <c r="P65" s="2">
        <v>0</v>
      </c>
      <c r="Q65" s="3"/>
      <c r="R65" s="2">
        <v>0</v>
      </c>
      <c r="S65" s="3"/>
      <c r="T65" s="2">
        <v>0</v>
      </c>
      <c r="U65" s="3"/>
      <c r="V65" s="2">
        <v>0</v>
      </c>
      <c r="W65" s="3"/>
      <c r="X65" s="2">
        <v>0</v>
      </c>
      <c r="Y65" s="3"/>
      <c r="Z65" s="2">
        <v>0</v>
      </c>
      <c r="AA65" s="3"/>
      <c r="AB65" s="2">
        <v>0</v>
      </c>
      <c r="AC65" s="3"/>
      <c r="AD65" s="2">
        <v>0</v>
      </c>
      <c r="AE65" s="3"/>
      <c r="AF65" s="2">
        <v>0</v>
      </c>
      <c r="AG65" s="3"/>
      <c r="AH65" s="2">
        <v>0</v>
      </c>
      <c r="AI65" s="3"/>
      <c r="AJ65" s="2">
        <v>0</v>
      </c>
      <c r="AK65" s="3"/>
      <c r="AL65" s="2">
        <v>0</v>
      </c>
      <c r="AM65" s="3"/>
      <c r="AN65" s="2">
        <v>0</v>
      </c>
      <c r="AO65" s="3"/>
      <c r="AP65" s="2">
        <v>0</v>
      </c>
      <c r="AQ65" s="3"/>
      <c r="AR65" s="2">
        <v>0</v>
      </c>
      <c r="AS65" s="3"/>
      <c r="AT65" s="2">
        <v>0</v>
      </c>
      <c r="AU65" s="3"/>
      <c r="AV65" s="2">
        <v>0</v>
      </c>
      <c r="AW65" s="3"/>
      <c r="AX65" s="2">
        <v>0</v>
      </c>
      <c r="AY65" s="3"/>
      <c r="AZ65" s="2">
        <v>0</v>
      </c>
      <c r="BA65" s="3"/>
      <c r="BB65" s="2">
        <v>-408</v>
      </c>
      <c r="BC65" s="3"/>
      <c r="BD65" s="2">
        <v>0</v>
      </c>
      <c r="BE65" s="3"/>
      <c r="BF65" s="2">
        <v>0</v>
      </c>
      <c r="BG65" s="3"/>
      <c r="BH65" s="2">
        <v>0</v>
      </c>
      <c r="BI65" s="3"/>
      <c r="BJ65" s="2">
        <v>0</v>
      </c>
      <c r="BK65" s="3"/>
      <c r="BL65" s="2">
        <v>0</v>
      </c>
      <c r="BM65" s="3"/>
      <c r="BN65" s="2">
        <v>0</v>
      </c>
      <c r="BO65" s="3"/>
      <c r="BP65" s="2">
        <v>0</v>
      </c>
      <c r="BQ65" s="3"/>
      <c r="BR65" s="2">
        <v>0</v>
      </c>
      <c r="BS65" s="3"/>
      <c r="BT65" s="2">
        <v>0</v>
      </c>
      <c r="BU65" s="3"/>
      <c r="BV65" s="2">
        <v>408</v>
      </c>
      <c r="BW65" s="3"/>
      <c r="BX65" s="2">
        <v>0</v>
      </c>
      <c r="BY65" s="3"/>
      <c r="BZ65" s="2">
        <v>0</v>
      </c>
      <c r="CA65" s="3"/>
      <c r="CB65" s="2">
        <v>0</v>
      </c>
      <c r="CC65" s="3"/>
      <c r="CD65" s="2">
        <v>0</v>
      </c>
      <c r="CE65" s="3"/>
      <c r="CF65" s="2">
        <v>0</v>
      </c>
      <c r="CG65" s="3"/>
      <c r="CH65" s="2">
        <v>0</v>
      </c>
      <c r="CI65" s="3"/>
      <c r="CJ65" s="2">
        <v>0</v>
      </c>
      <c r="CK65" s="3"/>
      <c r="CL65" s="2">
        <v>0</v>
      </c>
      <c r="CM65" s="3"/>
      <c r="CN65" s="2">
        <v>0</v>
      </c>
      <c r="CO65" s="3"/>
      <c r="CP65" s="2">
        <v>0</v>
      </c>
      <c r="CQ65" s="3"/>
      <c r="CR65" s="2">
        <v>0</v>
      </c>
      <c r="CS65" s="3"/>
      <c r="CT65" s="2">
        <v>0</v>
      </c>
      <c r="CU65" s="3"/>
      <c r="CV65" s="2">
        <v>0</v>
      </c>
      <c r="CW65" s="3"/>
      <c r="CX65" s="2">
        <v>0</v>
      </c>
      <c r="CY65" s="3"/>
      <c r="CZ65" s="2">
        <v>0</v>
      </c>
      <c r="DA65" s="3"/>
      <c r="DB65" s="2">
        <v>0</v>
      </c>
      <c r="DC65" s="3"/>
      <c r="DD65" s="2">
        <v>15836.88</v>
      </c>
      <c r="DE65" s="3"/>
      <c r="DF65" s="2">
        <v>0</v>
      </c>
      <c r="DG65" s="3"/>
      <c r="DH65" s="2">
        <v>0</v>
      </c>
      <c r="DI65" s="3"/>
      <c r="DJ65" s="2">
        <v>0</v>
      </c>
      <c r="DK65" s="3"/>
      <c r="DL65" s="2">
        <v>0</v>
      </c>
      <c r="DM65" s="3"/>
      <c r="DN65" s="2">
        <v>0</v>
      </c>
      <c r="DO65" s="3"/>
      <c r="DP65" s="2">
        <v>0</v>
      </c>
      <c r="DQ65" s="3"/>
      <c r="DR65" s="2">
        <v>-15836.88</v>
      </c>
      <c r="DS65" s="3"/>
      <c r="DT65" s="2">
        <v>0</v>
      </c>
      <c r="DU65" s="3"/>
      <c r="DV65" s="2">
        <v>0</v>
      </c>
      <c r="DW65" s="3"/>
      <c r="DX65" s="2">
        <v>0</v>
      </c>
      <c r="DY65" s="3"/>
      <c r="DZ65" s="2">
        <v>0</v>
      </c>
      <c r="EA65" s="3"/>
      <c r="EB65" s="2">
        <v>0</v>
      </c>
      <c r="EC65" s="3"/>
      <c r="ED65" s="2">
        <v>0</v>
      </c>
      <c r="EE65" s="3"/>
      <c r="EF65" s="2">
        <v>0</v>
      </c>
      <c r="EG65" s="3"/>
      <c r="EH65" s="2">
        <f t="shared" si="2"/>
        <v>0</v>
      </c>
    </row>
    <row r="66" spans="1:138" x14ac:dyDescent="0.45">
      <c r="A66" s="1"/>
      <c r="B66" s="1"/>
      <c r="C66" s="1"/>
      <c r="D66" s="1"/>
      <c r="E66" s="1" t="s">
        <v>131</v>
      </c>
      <c r="F66" s="2">
        <v>0</v>
      </c>
      <c r="G66" s="3"/>
      <c r="H66" s="2">
        <v>0</v>
      </c>
      <c r="I66" s="3"/>
      <c r="J66" s="2">
        <v>0</v>
      </c>
      <c r="K66" s="3"/>
      <c r="L66" s="2">
        <v>0</v>
      </c>
      <c r="M66" s="3"/>
      <c r="N66" s="2">
        <v>95</v>
      </c>
      <c r="O66" s="3"/>
      <c r="P66" s="2">
        <v>0</v>
      </c>
      <c r="Q66" s="3"/>
      <c r="R66" s="2">
        <v>350</v>
      </c>
      <c r="S66" s="3"/>
      <c r="T66" s="2">
        <v>0</v>
      </c>
      <c r="U66" s="3"/>
      <c r="V66" s="2">
        <v>0</v>
      </c>
      <c r="W66" s="3"/>
      <c r="X66" s="2">
        <v>3664.22</v>
      </c>
      <c r="Y66" s="3"/>
      <c r="Z66" s="2">
        <v>0</v>
      </c>
      <c r="AA66" s="3"/>
      <c r="AB66" s="2">
        <v>5439.25</v>
      </c>
      <c r="AC66" s="3"/>
      <c r="AD66" s="2">
        <v>8107.88</v>
      </c>
      <c r="AE66" s="3"/>
      <c r="AF66" s="2">
        <v>4091.79</v>
      </c>
      <c r="AG66" s="3"/>
      <c r="AH66" s="2">
        <v>0</v>
      </c>
      <c r="AI66" s="3"/>
      <c r="AJ66" s="2">
        <v>0</v>
      </c>
      <c r="AK66" s="3"/>
      <c r="AL66" s="2">
        <v>0</v>
      </c>
      <c r="AM66" s="3"/>
      <c r="AN66" s="2">
        <v>0</v>
      </c>
      <c r="AO66" s="3"/>
      <c r="AP66" s="2">
        <v>0</v>
      </c>
      <c r="AQ66" s="3"/>
      <c r="AR66" s="2">
        <v>0</v>
      </c>
      <c r="AS66" s="3"/>
      <c r="AT66" s="2">
        <v>0</v>
      </c>
      <c r="AU66" s="3"/>
      <c r="AV66" s="2">
        <v>0</v>
      </c>
      <c r="AW66" s="3"/>
      <c r="AX66" s="2">
        <v>0</v>
      </c>
      <c r="AY66" s="3"/>
      <c r="AZ66" s="2">
        <v>0</v>
      </c>
      <c r="BA66" s="3"/>
      <c r="BB66" s="2">
        <v>0</v>
      </c>
      <c r="BC66" s="3"/>
      <c r="BD66" s="2">
        <v>9700</v>
      </c>
      <c r="BE66" s="3"/>
      <c r="BF66" s="2">
        <v>0</v>
      </c>
      <c r="BG66" s="3"/>
      <c r="BH66" s="2">
        <v>0</v>
      </c>
      <c r="BI66" s="3"/>
      <c r="BJ66" s="2">
        <v>0</v>
      </c>
      <c r="BK66" s="3"/>
      <c r="BL66" s="2">
        <v>0</v>
      </c>
      <c r="BM66" s="3"/>
      <c r="BN66" s="2">
        <v>0</v>
      </c>
      <c r="BO66" s="3"/>
      <c r="BP66" s="2">
        <v>10800</v>
      </c>
      <c r="BQ66" s="3"/>
      <c r="BR66" s="2">
        <v>0</v>
      </c>
      <c r="BS66" s="3"/>
      <c r="BT66" s="2">
        <v>3517.37</v>
      </c>
      <c r="BU66" s="3"/>
      <c r="BV66" s="2">
        <v>0</v>
      </c>
      <c r="BW66" s="3"/>
      <c r="BX66" s="2">
        <v>668.66</v>
      </c>
      <c r="BY66" s="3"/>
      <c r="BZ66" s="2">
        <v>8375.75</v>
      </c>
      <c r="CA66" s="3"/>
      <c r="CB66" s="2">
        <v>0</v>
      </c>
      <c r="CC66" s="3"/>
      <c r="CD66" s="2">
        <v>0</v>
      </c>
      <c r="CE66" s="3"/>
      <c r="CF66" s="2">
        <v>0</v>
      </c>
      <c r="CG66" s="3"/>
      <c r="CH66" s="2">
        <v>35.520000000000003</v>
      </c>
      <c r="CI66" s="3"/>
      <c r="CJ66" s="2">
        <v>0</v>
      </c>
      <c r="CK66" s="3"/>
      <c r="CL66" s="2">
        <v>0</v>
      </c>
      <c r="CM66" s="3"/>
      <c r="CN66" s="2">
        <v>0</v>
      </c>
      <c r="CO66" s="3"/>
      <c r="CP66" s="2">
        <v>0</v>
      </c>
      <c r="CQ66" s="3"/>
      <c r="CR66" s="2">
        <v>200</v>
      </c>
      <c r="CS66" s="3"/>
      <c r="CT66" s="2">
        <v>0</v>
      </c>
      <c r="CU66" s="3"/>
      <c r="CV66" s="2">
        <v>0</v>
      </c>
      <c r="CW66" s="3"/>
      <c r="CX66" s="2">
        <v>0</v>
      </c>
      <c r="CY66" s="3"/>
      <c r="CZ66" s="2">
        <v>0</v>
      </c>
      <c r="DA66" s="3"/>
      <c r="DB66" s="2">
        <v>0</v>
      </c>
      <c r="DC66" s="3"/>
      <c r="DD66" s="2">
        <v>0</v>
      </c>
      <c r="DE66" s="3"/>
      <c r="DF66" s="2">
        <v>0</v>
      </c>
      <c r="DG66" s="3"/>
      <c r="DH66" s="2">
        <v>0</v>
      </c>
      <c r="DI66" s="3"/>
      <c r="DJ66" s="2">
        <v>0</v>
      </c>
      <c r="DK66" s="3"/>
      <c r="DL66" s="2">
        <v>0</v>
      </c>
      <c r="DM66" s="3"/>
      <c r="DN66" s="2">
        <v>0</v>
      </c>
      <c r="DO66" s="3"/>
      <c r="DP66" s="2">
        <v>935.54</v>
      </c>
      <c r="DQ66" s="3"/>
      <c r="DR66" s="2">
        <v>0</v>
      </c>
      <c r="DS66" s="3"/>
      <c r="DT66" s="2">
        <v>0</v>
      </c>
      <c r="DU66" s="3"/>
      <c r="DV66" s="2">
        <v>0</v>
      </c>
      <c r="DW66" s="3"/>
      <c r="DX66" s="2">
        <v>6450</v>
      </c>
      <c r="DY66" s="3"/>
      <c r="DZ66" s="2">
        <v>0</v>
      </c>
      <c r="EA66" s="3"/>
      <c r="EB66" s="2">
        <v>0</v>
      </c>
      <c r="EC66" s="3"/>
      <c r="ED66" s="2">
        <v>0</v>
      </c>
      <c r="EE66" s="3"/>
      <c r="EF66" s="2">
        <v>0</v>
      </c>
      <c r="EG66" s="3"/>
      <c r="EH66" s="2">
        <f t="shared" si="2"/>
        <v>62430.98</v>
      </c>
    </row>
    <row r="67" spans="1:138" x14ac:dyDescent="0.45">
      <c r="A67" s="1"/>
      <c r="B67" s="1"/>
      <c r="C67" s="1"/>
      <c r="D67" s="1"/>
      <c r="E67" s="1" t="s">
        <v>132</v>
      </c>
      <c r="F67" s="2">
        <v>0</v>
      </c>
      <c r="G67" s="3"/>
      <c r="H67" s="2">
        <v>0</v>
      </c>
      <c r="I67" s="3"/>
      <c r="J67" s="2">
        <v>0</v>
      </c>
      <c r="K67" s="3"/>
      <c r="L67" s="2">
        <v>0</v>
      </c>
      <c r="M67" s="3"/>
      <c r="N67" s="2">
        <v>0</v>
      </c>
      <c r="O67" s="3"/>
      <c r="P67" s="2">
        <v>115.23</v>
      </c>
      <c r="Q67" s="3"/>
      <c r="R67" s="2">
        <v>0</v>
      </c>
      <c r="S67" s="3"/>
      <c r="T67" s="2">
        <v>0</v>
      </c>
      <c r="U67" s="3"/>
      <c r="V67" s="2">
        <v>0</v>
      </c>
      <c r="W67" s="3"/>
      <c r="X67" s="2">
        <v>0</v>
      </c>
      <c r="Y67" s="3"/>
      <c r="Z67" s="2">
        <v>0</v>
      </c>
      <c r="AA67" s="3"/>
      <c r="AB67" s="2">
        <v>464.96</v>
      </c>
      <c r="AC67" s="3"/>
      <c r="AD67" s="2">
        <v>2179.3000000000002</v>
      </c>
      <c r="AE67" s="3"/>
      <c r="AF67" s="2">
        <v>0</v>
      </c>
      <c r="AG67" s="3"/>
      <c r="AH67" s="2">
        <v>0</v>
      </c>
      <c r="AI67" s="3"/>
      <c r="AJ67" s="2">
        <v>0</v>
      </c>
      <c r="AK67" s="3"/>
      <c r="AL67" s="2">
        <v>0</v>
      </c>
      <c r="AM67" s="3"/>
      <c r="AN67" s="2">
        <v>0</v>
      </c>
      <c r="AO67" s="3"/>
      <c r="AP67" s="2">
        <v>0</v>
      </c>
      <c r="AQ67" s="3"/>
      <c r="AR67" s="2">
        <v>0</v>
      </c>
      <c r="AS67" s="3"/>
      <c r="AT67" s="2">
        <v>0</v>
      </c>
      <c r="AU67" s="3"/>
      <c r="AV67" s="2">
        <v>0</v>
      </c>
      <c r="AW67" s="3"/>
      <c r="AX67" s="2">
        <v>0</v>
      </c>
      <c r="AY67" s="3"/>
      <c r="AZ67" s="2">
        <v>0</v>
      </c>
      <c r="BA67" s="3"/>
      <c r="BB67" s="2">
        <v>0</v>
      </c>
      <c r="BC67" s="3"/>
      <c r="BD67" s="2">
        <v>8.15</v>
      </c>
      <c r="BE67" s="3"/>
      <c r="BF67" s="2">
        <v>0</v>
      </c>
      <c r="BG67" s="3"/>
      <c r="BH67" s="2">
        <v>0</v>
      </c>
      <c r="BI67" s="3"/>
      <c r="BJ67" s="2">
        <v>0</v>
      </c>
      <c r="BK67" s="3"/>
      <c r="BL67" s="2">
        <v>0</v>
      </c>
      <c r="BM67" s="3"/>
      <c r="BN67" s="2">
        <v>0</v>
      </c>
      <c r="BO67" s="3"/>
      <c r="BP67" s="2">
        <v>52</v>
      </c>
      <c r="BQ67" s="3"/>
      <c r="BR67" s="2">
        <v>0</v>
      </c>
      <c r="BS67" s="3"/>
      <c r="BT67" s="2">
        <v>0</v>
      </c>
      <c r="BU67" s="3"/>
      <c r="BV67" s="2">
        <v>0</v>
      </c>
      <c r="BW67" s="3"/>
      <c r="BX67" s="2">
        <v>0</v>
      </c>
      <c r="BY67" s="3"/>
      <c r="BZ67" s="2">
        <v>927.33</v>
      </c>
      <c r="CA67" s="3"/>
      <c r="CB67" s="2">
        <v>896.29</v>
      </c>
      <c r="CC67" s="3"/>
      <c r="CD67" s="2">
        <v>0</v>
      </c>
      <c r="CE67" s="3"/>
      <c r="CF67" s="2">
        <v>0</v>
      </c>
      <c r="CG67" s="3"/>
      <c r="CH67" s="2">
        <v>0</v>
      </c>
      <c r="CI67" s="3"/>
      <c r="CJ67" s="2">
        <v>0</v>
      </c>
      <c r="CK67" s="3"/>
      <c r="CL67" s="2">
        <v>0</v>
      </c>
      <c r="CM67" s="3"/>
      <c r="CN67" s="2">
        <v>0</v>
      </c>
      <c r="CO67" s="3"/>
      <c r="CP67" s="2">
        <v>0</v>
      </c>
      <c r="CQ67" s="3"/>
      <c r="CR67" s="2">
        <v>0</v>
      </c>
      <c r="CS67" s="3"/>
      <c r="CT67" s="2">
        <v>0</v>
      </c>
      <c r="CU67" s="3"/>
      <c r="CV67" s="2">
        <v>0</v>
      </c>
      <c r="CW67" s="3"/>
      <c r="CX67" s="2">
        <v>2901.1</v>
      </c>
      <c r="CY67" s="3"/>
      <c r="CZ67" s="2">
        <v>0</v>
      </c>
      <c r="DA67" s="3"/>
      <c r="DB67" s="2">
        <v>0</v>
      </c>
      <c r="DC67" s="3"/>
      <c r="DD67" s="2">
        <v>0</v>
      </c>
      <c r="DE67" s="3"/>
      <c r="DF67" s="2">
        <v>0</v>
      </c>
      <c r="DG67" s="3"/>
      <c r="DH67" s="2">
        <v>0</v>
      </c>
      <c r="DI67" s="3"/>
      <c r="DJ67" s="2">
        <v>0</v>
      </c>
      <c r="DK67" s="3"/>
      <c r="DL67" s="2">
        <v>0</v>
      </c>
      <c r="DM67" s="3"/>
      <c r="DN67" s="2">
        <v>0</v>
      </c>
      <c r="DO67" s="3"/>
      <c r="DP67" s="2">
        <v>1078.78</v>
      </c>
      <c r="DQ67" s="3"/>
      <c r="DR67" s="2">
        <v>0</v>
      </c>
      <c r="DS67" s="3"/>
      <c r="DT67" s="2">
        <v>0</v>
      </c>
      <c r="DU67" s="3"/>
      <c r="DV67" s="2">
        <v>858.46</v>
      </c>
      <c r="DW67" s="3"/>
      <c r="DX67" s="2">
        <v>500</v>
      </c>
      <c r="DY67" s="3"/>
      <c r="DZ67" s="2">
        <v>0</v>
      </c>
      <c r="EA67" s="3"/>
      <c r="EB67" s="2">
        <v>0</v>
      </c>
      <c r="EC67" s="3"/>
      <c r="ED67" s="2">
        <v>0</v>
      </c>
      <c r="EE67" s="3"/>
      <c r="EF67" s="2">
        <v>0</v>
      </c>
      <c r="EG67" s="3"/>
      <c r="EH67" s="2">
        <f t="shared" si="2"/>
        <v>9981.6</v>
      </c>
    </row>
    <row r="68" spans="1:138" x14ac:dyDescent="0.45">
      <c r="A68" s="1"/>
      <c r="B68" s="1"/>
      <c r="C68" s="1"/>
      <c r="D68" s="1"/>
      <c r="E68" s="1" t="s">
        <v>133</v>
      </c>
      <c r="F68" s="2">
        <v>0</v>
      </c>
      <c r="G68" s="3"/>
      <c r="H68" s="2">
        <v>0</v>
      </c>
      <c r="I68" s="3"/>
      <c r="J68" s="2">
        <v>0</v>
      </c>
      <c r="K68" s="3"/>
      <c r="L68" s="2">
        <v>0</v>
      </c>
      <c r="M68" s="3"/>
      <c r="N68" s="2">
        <v>0</v>
      </c>
      <c r="O68" s="3"/>
      <c r="P68" s="2">
        <v>0</v>
      </c>
      <c r="Q68" s="3"/>
      <c r="R68" s="2">
        <v>0</v>
      </c>
      <c r="S68" s="3"/>
      <c r="T68" s="2">
        <v>0</v>
      </c>
      <c r="U68" s="3"/>
      <c r="V68" s="2">
        <v>0</v>
      </c>
      <c r="W68" s="3"/>
      <c r="X68" s="2">
        <v>0</v>
      </c>
      <c r="Y68" s="3"/>
      <c r="Z68" s="2">
        <v>0</v>
      </c>
      <c r="AA68" s="3"/>
      <c r="AB68" s="2">
        <v>0</v>
      </c>
      <c r="AC68" s="3"/>
      <c r="AD68" s="2">
        <v>0</v>
      </c>
      <c r="AE68" s="3"/>
      <c r="AF68" s="2">
        <v>0</v>
      </c>
      <c r="AG68" s="3"/>
      <c r="AH68" s="2">
        <v>0</v>
      </c>
      <c r="AI68" s="3"/>
      <c r="AJ68" s="2">
        <v>0</v>
      </c>
      <c r="AK68" s="3"/>
      <c r="AL68" s="2">
        <v>0</v>
      </c>
      <c r="AM68" s="3"/>
      <c r="AN68" s="2">
        <v>85.2</v>
      </c>
      <c r="AO68" s="3"/>
      <c r="AP68" s="2">
        <v>0</v>
      </c>
      <c r="AQ68" s="3"/>
      <c r="AR68" s="2">
        <v>0</v>
      </c>
      <c r="AS68" s="3"/>
      <c r="AT68" s="2">
        <v>0</v>
      </c>
      <c r="AU68" s="3"/>
      <c r="AV68" s="2">
        <v>85.2</v>
      </c>
      <c r="AW68" s="3"/>
      <c r="AX68" s="2">
        <v>85.2</v>
      </c>
      <c r="AY68" s="3"/>
      <c r="AZ68" s="2">
        <v>-255.6</v>
      </c>
      <c r="BA68" s="3"/>
      <c r="BB68" s="2">
        <v>0</v>
      </c>
      <c r="BC68" s="3"/>
      <c r="BD68" s="2">
        <v>0</v>
      </c>
      <c r="BE68" s="3"/>
      <c r="BF68" s="2">
        <v>0</v>
      </c>
      <c r="BG68" s="3"/>
      <c r="BH68" s="2">
        <v>0</v>
      </c>
      <c r="BI68" s="3"/>
      <c r="BJ68" s="2">
        <v>0</v>
      </c>
      <c r="BK68" s="3"/>
      <c r="BL68" s="2">
        <v>6</v>
      </c>
      <c r="BM68" s="3"/>
      <c r="BN68" s="2">
        <v>0</v>
      </c>
      <c r="BO68" s="3"/>
      <c r="BP68" s="2">
        <v>0</v>
      </c>
      <c r="BQ68" s="3"/>
      <c r="BR68" s="2">
        <v>234.74</v>
      </c>
      <c r="BS68" s="3"/>
      <c r="BT68" s="2">
        <v>0</v>
      </c>
      <c r="BU68" s="3"/>
      <c r="BV68" s="2">
        <v>0</v>
      </c>
      <c r="BW68" s="3"/>
      <c r="BX68" s="2">
        <v>-240.74</v>
      </c>
      <c r="BY68" s="3"/>
      <c r="BZ68" s="2">
        <v>0</v>
      </c>
      <c r="CA68" s="3"/>
      <c r="CB68" s="2">
        <v>0</v>
      </c>
      <c r="CC68" s="3"/>
      <c r="CD68" s="2">
        <v>0</v>
      </c>
      <c r="CE68" s="3"/>
      <c r="CF68" s="2">
        <v>0</v>
      </c>
      <c r="CG68" s="3"/>
      <c r="CH68" s="2">
        <v>0</v>
      </c>
      <c r="CI68" s="3"/>
      <c r="CJ68" s="2">
        <v>0</v>
      </c>
      <c r="CK68" s="3"/>
      <c r="CL68" s="2">
        <v>0</v>
      </c>
      <c r="CM68" s="3"/>
      <c r="CN68" s="2">
        <v>0</v>
      </c>
      <c r="CO68" s="3"/>
      <c r="CP68" s="2">
        <v>0</v>
      </c>
      <c r="CQ68" s="3"/>
      <c r="CR68" s="2">
        <v>0</v>
      </c>
      <c r="CS68" s="3"/>
      <c r="CT68" s="2">
        <v>0</v>
      </c>
      <c r="CU68" s="3"/>
      <c r="CV68" s="2">
        <v>0</v>
      </c>
      <c r="CW68" s="3"/>
      <c r="CX68" s="2">
        <v>0</v>
      </c>
      <c r="CY68" s="3"/>
      <c r="CZ68" s="2">
        <v>0</v>
      </c>
      <c r="DA68" s="3"/>
      <c r="DB68" s="2">
        <v>0</v>
      </c>
      <c r="DC68" s="3"/>
      <c r="DD68" s="2">
        <v>0</v>
      </c>
      <c r="DE68" s="3"/>
      <c r="DF68" s="2">
        <v>0</v>
      </c>
      <c r="DG68" s="3"/>
      <c r="DH68" s="2">
        <v>0</v>
      </c>
      <c r="DI68" s="3"/>
      <c r="DJ68" s="2">
        <v>0</v>
      </c>
      <c r="DK68" s="3"/>
      <c r="DL68" s="2">
        <v>0</v>
      </c>
      <c r="DM68" s="3"/>
      <c r="DN68" s="2">
        <v>0</v>
      </c>
      <c r="DO68" s="3"/>
      <c r="DP68" s="2">
        <v>0</v>
      </c>
      <c r="DQ68" s="3"/>
      <c r="DR68" s="2">
        <v>0</v>
      </c>
      <c r="DS68" s="3"/>
      <c r="DT68" s="2">
        <v>0</v>
      </c>
      <c r="DU68" s="3"/>
      <c r="DV68" s="2">
        <v>0</v>
      </c>
      <c r="DW68" s="3"/>
      <c r="DX68" s="2">
        <v>0</v>
      </c>
      <c r="DY68" s="3"/>
      <c r="DZ68" s="2">
        <v>0</v>
      </c>
      <c r="EA68" s="3"/>
      <c r="EB68" s="2">
        <v>0</v>
      </c>
      <c r="EC68" s="3"/>
      <c r="ED68" s="2">
        <v>0</v>
      </c>
      <c r="EE68" s="3"/>
      <c r="EF68" s="2">
        <v>0</v>
      </c>
      <c r="EG68" s="3"/>
      <c r="EH68" s="2">
        <f t="shared" si="2"/>
        <v>0</v>
      </c>
    </row>
    <row r="69" spans="1:138" x14ac:dyDescent="0.45">
      <c r="A69" s="1"/>
      <c r="B69" s="1"/>
      <c r="C69" s="1"/>
      <c r="D69" s="1"/>
      <c r="E69" s="1" t="s">
        <v>134</v>
      </c>
      <c r="F69" s="2">
        <v>7295.14</v>
      </c>
      <c r="G69" s="3"/>
      <c r="H69" s="2">
        <v>6905.02</v>
      </c>
      <c r="I69" s="3"/>
      <c r="J69" s="2">
        <v>5747.49</v>
      </c>
      <c r="K69" s="3"/>
      <c r="L69" s="2">
        <v>6578.34</v>
      </c>
      <c r="M69" s="3"/>
      <c r="N69" s="2">
        <v>8573.0300000000007</v>
      </c>
      <c r="O69" s="3"/>
      <c r="P69" s="2">
        <v>6029.9</v>
      </c>
      <c r="Q69" s="3"/>
      <c r="R69" s="2">
        <v>7513.15</v>
      </c>
      <c r="S69" s="3"/>
      <c r="T69" s="2">
        <v>9304.0300000000007</v>
      </c>
      <c r="U69" s="3"/>
      <c r="V69" s="2">
        <v>6029.9</v>
      </c>
      <c r="W69" s="3"/>
      <c r="X69" s="2">
        <v>7513.15</v>
      </c>
      <c r="Y69" s="3"/>
      <c r="Z69" s="2">
        <v>8553.0300000000007</v>
      </c>
      <c r="AA69" s="3"/>
      <c r="AB69" s="2">
        <v>5207.26</v>
      </c>
      <c r="AC69" s="3"/>
      <c r="AD69" s="2">
        <v>8244.35</v>
      </c>
      <c r="AE69" s="3"/>
      <c r="AF69" s="2">
        <v>7832.23</v>
      </c>
      <c r="AG69" s="3"/>
      <c r="AH69" s="2">
        <v>8274.35</v>
      </c>
      <c r="AI69" s="3"/>
      <c r="AJ69" s="2">
        <v>7518.35</v>
      </c>
      <c r="AK69" s="3"/>
      <c r="AL69" s="2">
        <v>9146.36</v>
      </c>
      <c r="AM69" s="3"/>
      <c r="AN69" s="2">
        <v>7991.28</v>
      </c>
      <c r="AO69" s="3"/>
      <c r="AP69" s="2">
        <v>8832.48</v>
      </c>
      <c r="AQ69" s="3"/>
      <c r="AR69" s="2">
        <v>9332.42</v>
      </c>
      <c r="AS69" s="3"/>
      <c r="AT69" s="2">
        <v>9301.11</v>
      </c>
      <c r="AU69" s="3"/>
      <c r="AV69" s="2">
        <v>8459.91</v>
      </c>
      <c r="AW69" s="3"/>
      <c r="AX69" s="2">
        <v>8642.7000000000007</v>
      </c>
      <c r="AY69" s="3"/>
      <c r="AZ69" s="2">
        <v>1760.23</v>
      </c>
      <c r="BA69" s="3"/>
      <c r="BB69" s="2">
        <v>8103.27</v>
      </c>
      <c r="BC69" s="3"/>
      <c r="BD69" s="2">
        <v>5977.52</v>
      </c>
      <c r="BE69" s="3"/>
      <c r="BF69" s="2">
        <v>9256.41</v>
      </c>
      <c r="BG69" s="3"/>
      <c r="BH69" s="2">
        <v>8459.91</v>
      </c>
      <c r="BI69" s="3"/>
      <c r="BJ69" s="2">
        <v>9088.76</v>
      </c>
      <c r="BK69" s="3"/>
      <c r="BL69" s="2">
        <v>7834.18</v>
      </c>
      <c r="BM69" s="3"/>
      <c r="BN69" s="2">
        <v>-2277.31</v>
      </c>
      <c r="BO69" s="3"/>
      <c r="BP69" s="2">
        <v>17071.509999999998</v>
      </c>
      <c r="BQ69" s="3"/>
      <c r="BR69" s="2">
        <v>8622.18</v>
      </c>
      <c r="BS69" s="3"/>
      <c r="BT69" s="2">
        <v>7834.18</v>
      </c>
      <c r="BU69" s="3"/>
      <c r="BV69" s="2">
        <v>8979.94</v>
      </c>
      <c r="BW69" s="3"/>
      <c r="BX69" s="2">
        <v>7834.18</v>
      </c>
      <c r="BY69" s="3"/>
      <c r="BZ69" s="2">
        <v>8782.1299999999992</v>
      </c>
      <c r="CA69" s="3"/>
      <c r="CB69" s="2">
        <v>8026.73</v>
      </c>
      <c r="CC69" s="3"/>
      <c r="CD69" s="2">
        <v>8878.73</v>
      </c>
      <c r="CE69" s="3"/>
      <c r="CF69" s="2">
        <v>7711.76</v>
      </c>
      <c r="CG69" s="3"/>
      <c r="CH69" s="2">
        <v>9563.74</v>
      </c>
      <c r="CI69" s="3"/>
      <c r="CJ69" s="2">
        <v>8191.96</v>
      </c>
      <c r="CK69" s="3"/>
      <c r="CL69" s="2">
        <v>9027.74</v>
      </c>
      <c r="CM69" s="3"/>
      <c r="CN69" s="2">
        <v>17154.48</v>
      </c>
      <c r="CO69" s="3"/>
      <c r="CP69" s="2">
        <v>11.26</v>
      </c>
      <c r="CQ69" s="3"/>
      <c r="CR69" s="2">
        <v>8329.1200000000008</v>
      </c>
      <c r="CS69" s="3"/>
      <c r="CT69" s="2">
        <v>9067.48</v>
      </c>
      <c r="CU69" s="3"/>
      <c r="CV69" s="2">
        <v>-1670.29</v>
      </c>
      <c r="CW69" s="3"/>
      <c r="CX69" s="2">
        <v>2910.19</v>
      </c>
      <c r="CY69" s="3"/>
      <c r="CZ69" s="2">
        <v>7033.47</v>
      </c>
      <c r="DA69" s="3"/>
      <c r="DB69" s="2">
        <v>6565.63</v>
      </c>
      <c r="DC69" s="3"/>
      <c r="DD69" s="2">
        <v>3817.42</v>
      </c>
      <c r="DE69" s="3"/>
      <c r="DF69" s="2">
        <v>4307.08</v>
      </c>
      <c r="DG69" s="3"/>
      <c r="DH69" s="2">
        <v>2791.81</v>
      </c>
      <c r="DI69" s="3"/>
      <c r="DJ69" s="2">
        <v>9575.2000000000007</v>
      </c>
      <c r="DK69" s="3"/>
      <c r="DL69" s="2">
        <v>9514.08</v>
      </c>
      <c r="DM69" s="3"/>
      <c r="DN69" s="2">
        <v>4464.92</v>
      </c>
      <c r="DO69" s="3"/>
      <c r="DP69" s="2">
        <v>5327.03</v>
      </c>
      <c r="DQ69" s="3"/>
      <c r="DR69" s="2">
        <v>7042.59</v>
      </c>
      <c r="DS69" s="3"/>
      <c r="DT69" s="2">
        <v>5691.19</v>
      </c>
      <c r="DU69" s="3"/>
      <c r="DV69" s="2">
        <v>16154.8</v>
      </c>
      <c r="DW69" s="3"/>
      <c r="DX69" s="2">
        <v>2171.4699999999998</v>
      </c>
      <c r="DY69" s="3"/>
      <c r="DZ69" s="2">
        <v>6606.89</v>
      </c>
      <c r="EA69" s="3"/>
      <c r="EB69" s="2">
        <v>6209.6</v>
      </c>
      <c r="EC69" s="3"/>
      <c r="ED69" s="2">
        <v>7787.35</v>
      </c>
      <c r="EE69" s="3"/>
      <c r="EF69" s="2">
        <v>1956.23</v>
      </c>
      <c r="EG69" s="3"/>
      <c r="EH69" s="2">
        <f t="shared" si="2"/>
        <v>480371.73</v>
      </c>
    </row>
    <row r="70" spans="1:138" x14ac:dyDescent="0.45">
      <c r="A70" s="1"/>
      <c r="B70" s="1"/>
      <c r="C70" s="1"/>
      <c r="D70" s="1"/>
      <c r="E70" s="1" t="s">
        <v>135</v>
      </c>
      <c r="F70" s="2">
        <v>0</v>
      </c>
      <c r="G70" s="3"/>
      <c r="H70" s="2">
        <v>0</v>
      </c>
      <c r="I70" s="3"/>
      <c r="J70" s="2">
        <v>0</v>
      </c>
      <c r="K70" s="3"/>
      <c r="L70" s="2">
        <v>0</v>
      </c>
      <c r="M70" s="3"/>
      <c r="N70" s="2">
        <v>0</v>
      </c>
      <c r="O70" s="3"/>
      <c r="P70" s="2">
        <v>0</v>
      </c>
      <c r="Q70" s="3"/>
      <c r="R70" s="2">
        <v>0</v>
      </c>
      <c r="S70" s="3"/>
      <c r="T70" s="2">
        <v>0</v>
      </c>
      <c r="U70" s="3"/>
      <c r="V70" s="2">
        <v>0</v>
      </c>
      <c r="W70" s="3"/>
      <c r="X70" s="2">
        <v>0</v>
      </c>
      <c r="Y70" s="3"/>
      <c r="Z70" s="2">
        <v>0</v>
      </c>
      <c r="AA70" s="3"/>
      <c r="AB70" s="2">
        <v>0</v>
      </c>
      <c r="AC70" s="3"/>
      <c r="AD70" s="2">
        <v>0</v>
      </c>
      <c r="AE70" s="3"/>
      <c r="AF70" s="2">
        <v>0</v>
      </c>
      <c r="AG70" s="3"/>
      <c r="AH70" s="2">
        <v>-36.590000000000003</v>
      </c>
      <c r="AI70" s="3"/>
      <c r="AJ70" s="2">
        <v>0</v>
      </c>
      <c r="AK70" s="3"/>
      <c r="AL70" s="2">
        <v>0</v>
      </c>
      <c r="AM70" s="3"/>
      <c r="AN70" s="2">
        <v>0</v>
      </c>
      <c r="AO70" s="3"/>
      <c r="AP70" s="2">
        <v>0</v>
      </c>
      <c r="AQ70" s="3"/>
      <c r="AR70" s="2">
        <v>0</v>
      </c>
      <c r="AS70" s="3"/>
      <c r="AT70" s="2">
        <v>0</v>
      </c>
      <c r="AU70" s="3"/>
      <c r="AV70" s="2">
        <v>0</v>
      </c>
      <c r="AW70" s="3"/>
      <c r="AX70" s="2">
        <v>0</v>
      </c>
      <c r="AY70" s="3"/>
      <c r="AZ70" s="2">
        <v>254.72</v>
      </c>
      <c r="BA70" s="3"/>
      <c r="BB70" s="2">
        <v>0</v>
      </c>
      <c r="BC70" s="3"/>
      <c r="BD70" s="2">
        <v>782.28</v>
      </c>
      <c r="BE70" s="3"/>
      <c r="BF70" s="2">
        <v>0</v>
      </c>
      <c r="BG70" s="3"/>
      <c r="BH70" s="2">
        <v>0</v>
      </c>
      <c r="BI70" s="3"/>
      <c r="BJ70" s="2">
        <v>0</v>
      </c>
      <c r="BK70" s="3"/>
      <c r="BL70" s="2">
        <v>0</v>
      </c>
      <c r="BM70" s="3"/>
      <c r="BN70" s="2">
        <v>0</v>
      </c>
      <c r="BO70" s="3"/>
      <c r="BP70" s="2">
        <v>0</v>
      </c>
      <c r="BQ70" s="3"/>
      <c r="BR70" s="2">
        <v>0</v>
      </c>
      <c r="BS70" s="3"/>
      <c r="BT70" s="2">
        <v>0</v>
      </c>
      <c r="BU70" s="3"/>
      <c r="BV70" s="2">
        <v>2660.65</v>
      </c>
      <c r="BW70" s="3"/>
      <c r="BX70" s="2">
        <v>0</v>
      </c>
      <c r="BY70" s="3"/>
      <c r="BZ70" s="2">
        <v>0</v>
      </c>
      <c r="CA70" s="3"/>
      <c r="CB70" s="2">
        <v>0</v>
      </c>
      <c r="CC70" s="3"/>
      <c r="CD70" s="2">
        <v>0</v>
      </c>
      <c r="CE70" s="3"/>
      <c r="CF70" s="2">
        <v>0</v>
      </c>
      <c r="CG70" s="3"/>
      <c r="CH70" s="2">
        <v>0</v>
      </c>
      <c r="CI70" s="3"/>
      <c r="CJ70" s="2">
        <v>0</v>
      </c>
      <c r="CK70" s="3"/>
      <c r="CL70" s="2">
        <v>0</v>
      </c>
      <c r="CM70" s="3"/>
      <c r="CN70" s="2">
        <v>0</v>
      </c>
      <c r="CO70" s="3"/>
      <c r="CP70" s="2">
        <v>0</v>
      </c>
      <c r="CQ70" s="3"/>
      <c r="CR70" s="2">
        <v>0</v>
      </c>
      <c r="CS70" s="3"/>
      <c r="CT70" s="2">
        <v>0</v>
      </c>
      <c r="CU70" s="3"/>
      <c r="CV70" s="2">
        <v>2909.69</v>
      </c>
      <c r="CW70" s="3"/>
      <c r="CX70" s="2">
        <v>9.1</v>
      </c>
      <c r="CY70" s="3"/>
      <c r="CZ70" s="2">
        <v>621.87</v>
      </c>
      <c r="DA70" s="3"/>
      <c r="DB70" s="2">
        <v>0</v>
      </c>
      <c r="DC70" s="3"/>
      <c r="DD70" s="2">
        <v>0</v>
      </c>
      <c r="DE70" s="3"/>
      <c r="DF70" s="2">
        <v>0</v>
      </c>
      <c r="DG70" s="3"/>
      <c r="DH70" s="2">
        <v>0</v>
      </c>
      <c r="DI70" s="3"/>
      <c r="DJ70" s="2">
        <v>0</v>
      </c>
      <c r="DK70" s="3"/>
      <c r="DL70" s="2">
        <v>0</v>
      </c>
      <c r="DM70" s="3"/>
      <c r="DN70" s="2">
        <v>0</v>
      </c>
      <c r="DO70" s="3"/>
      <c r="DP70" s="2">
        <v>0</v>
      </c>
      <c r="DQ70" s="3"/>
      <c r="DR70" s="2">
        <v>0</v>
      </c>
      <c r="DS70" s="3"/>
      <c r="DT70" s="2">
        <v>0</v>
      </c>
      <c r="DU70" s="3"/>
      <c r="DV70" s="2">
        <v>0</v>
      </c>
      <c r="DW70" s="3"/>
      <c r="DX70" s="2">
        <v>0</v>
      </c>
      <c r="DY70" s="3"/>
      <c r="DZ70" s="2">
        <v>0</v>
      </c>
      <c r="EA70" s="3"/>
      <c r="EB70" s="2">
        <v>0</v>
      </c>
      <c r="EC70" s="3"/>
      <c r="ED70" s="2">
        <v>0</v>
      </c>
      <c r="EE70" s="3"/>
      <c r="EF70" s="2">
        <v>0</v>
      </c>
      <c r="EG70" s="3"/>
      <c r="EH70" s="2">
        <f t="shared" si="2"/>
        <v>7201.72</v>
      </c>
    </row>
    <row r="71" spans="1:138" x14ac:dyDescent="0.45">
      <c r="A71" s="1"/>
      <c r="B71" s="1"/>
      <c r="C71" s="1"/>
      <c r="D71" s="1"/>
      <c r="E71" s="1" t="s">
        <v>136</v>
      </c>
      <c r="F71" s="2">
        <v>3004.03</v>
      </c>
      <c r="G71" s="3"/>
      <c r="H71" s="2">
        <v>1011.07</v>
      </c>
      <c r="I71" s="3"/>
      <c r="J71" s="2">
        <v>968.33</v>
      </c>
      <c r="K71" s="3"/>
      <c r="L71" s="2">
        <v>6290.18</v>
      </c>
      <c r="M71" s="3"/>
      <c r="N71" s="2">
        <v>1204.3</v>
      </c>
      <c r="O71" s="3"/>
      <c r="P71" s="2">
        <v>503.01</v>
      </c>
      <c r="Q71" s="3"/>
      <c r="R71" s="2">
        <v>1174.43</v>
      </c>
      <c r="S71" s="3"/>
      <c r="T71" s="2">
        <v>1137.1500000000001</v>
      </c>
      <c r="U71" s="3"/>
      <c r="V71" s="2">
        <v>1263.1199999999999</v>
      </c>
      <c r="W71" s="3"/>
      <c r="X71" s="2">
        <v>1354.97</v>
      </c>
      <c r="Y71" s="3"/>
      <c r="Z71" s="2">
        <v>1017.4</v>
      </c>
      <c r="AA71" s="3"/>
      <c r="AB71" s="2">
        <v>10188.370000000001</v>
      </c>
      <c r="AC71" s="3"/>
      <c r="AD71" s="2">
        <v>3665.92</v>
      </c>
      <c r="AE71" s="3"/>
      <c r="AF71" s="2">
        <v>929.25</v>
      </c>
      <c r="AG71" s="3"/>
      <c r="AH71" s="2">
        <v>1030.8399999999999</v>
      </c>
      <c r="AI71" s="3"/>
      <c r="AJ71" s="2">
        <v>919.61</v>
      </c>
      <c r="AK71" s="3"/>
      <c r="AL71" s="2">
        <v>668.82</v>
      </c>
      <c r="AM71" s="3"/>
      <c r="AN71" s="2">
        <v>3721.95</v>
      </c>
      <c r="AO71" s="3"/>
      <c r="AP71" s="2">
        <v>1372.46</v>
      </c>
      <c r="AQ71" s="3"/>
      <c r="AR71" s="2">
        <v>2092.56</v>
      </c>
      <c r="AS71" s="3"/>
      <c r="AT71" s="2">
        <v>3165.87</v>
      </c>
      <c r="AU71" s="3"/>
      <c r="AV71" s="2">
        <v>1610.73</v>
      </c>
      <c r="AW71" s="3"/>
      <c r="AX71" s="2">
        <v>1012.7</v>
      </c>
      <c r="AY71" s="3"/>
      <c r="AZ71" s="2">
        <v>8394.6200000000008</v>
      </c>
      <c r="BA71" s="3"/>
      <c r="BB71" s="2">
        <v>835.06</v>
      </c>
      <c r="BC71" s="3"/>
      <c r="BD71" s="2">
        <v>1516.91</v>
      </c>
      <c r="BE71" s="3"/>
      <c r="BF71" s="2">
        <v>821.55</v>
      </c>
      <c r="BG71" s="3"/>
      <c r="BH71" s="2">
        <v>1434.06</v>
      </c>
      <c r="BI71" s="3"/>
      <c r="BJ71" s="2">
        <v>561.59</v>
      </c>
      <c r="BK71" s="3"/>
      <c r="BL71" s="2">
        <v>1413.42</v>
      </c>
      <c r="BM71" s="3"/>
      <c r="BN71" s="2">
        <v>449.74</v>
      </c>
      <c r="BO71" s="3"/>
      <c r="BP71" s="2">
        <v>740.81</v>
      </c>
      <c r="BQ71" s="3"/>
      <c r="BR71" s="2">
        <v>744.04</v>
      </c>
      <c r="BS71" s="3"/>
      <c r="BT71" s="2">
        <v>805.61</v>
      </c>
      <c r="BU71" s="3"/>
      <c r="BV71" s="2">
        <v>1487.22</v>
      </c>
      <c r="BW71" s="3"/>
      <c r="BX71" s="2">
        <v>8652.33</v>
      </c>
      <c r="BY71" s="3"/>
      <c r="BZ71" s="2">
        <v>995.13</v>
      </c>
      <c r="CA71" s="3"/>
      <c r="CB71" s="2">
        <v>3790.39</v>
      </c>
      <c r="CC71" s="3"/>
      <c r="CD71" s="2">
        <v>1074.1400000000001</v>
      </c>
      <c r="CE71" s="3"/>
      <c r="CF71" s="2">
        <v>1265.2</v>
      </c>
      <c r="CG71" s="3"/>
      <c r="CH71" s="2">
        <v>1523.61</v>
      </c>
      <c r="CI71" s="3"/>
      <c r="CJ71" s="2">
        <v>677.56</v>
      </c>
      <c r="CK71" s="3"/>
      <c r="CL71" s="2">
        <v>667.51</v>
      </c>
      <c r="CM71" s="3"/>
      <c r="CN71" s="2">
        <v>1018.43</v>
      </c>
      <c r="CO71" s="3"/>
      <c r="CP71" s="2">
        <v>714.38</v>
      </c>
      <c r="CQ71" s="3"/>
      <c r="CR71" s="2">
        <v>1033.03</v>
      </c>
      <c r="CS71" s="3"/>
      <c r="CT71" s="2">
        <v>1595.7</v>
      </c>
      <c r="CU71" s="3"/>
      <c r="CV71" s="2">
        <v>7206.43</v>
      </c>
      <c r="CW71" s="3"/>
      <c r="CX71" s="2">
        <v>1111.2</v>
      </c>
      <c r="CY71" s="3"/>
      <c r="CZ71" s="2">
        <v>2133.39</v>
      </c>
      <c r="DA71" s="3"/>
      <c r="DB71" s="2">
        <v>1393.78</v>
      </c>
      <c r="DC71" s="3"/>
      <c r="DD71" s="2">
        <v>818.66</v>
      </c>
      <c r="DE71" s="3"/>
      <c r="DF71" s="2">
        <v>879.89</v>
      </c>
      <c r="DG71" s="3"/>
      <c r="DH71" s="2">
        <v>2009.76</v>
      </c>
      <c r="DI71" s="3"/>
      <c r="DJ71" s="2">
        <v>1091.92</v>
      </c>
      <c r="DK71" s="3"/>
      <c r="DL71" s="2">
        <v>797.2</v>
      </c>
      <c r="DM71" s="3"/>
      <c r="DN71" s="2">
        <v>1581.56</v>
      </c>
      <c r="DO71" s="3"/>
      <c r="DP71" s="2">
        <v>-7252.84</v>
      </c>
      <c r="DQ71" s="3"/>
      <c r="DR71" s="2">
        <v>1241.8800000000001</v>
      </c>
      <c r="DS71" s="3"/>
      <c r="DT71" s="2">
        <v>12283.37</v>
      </c>
      <c r="DU71" s="3"/>
      <c r="DV71" s="2">
        <v>1019.55</v>
      </c>
      <c r="DW71" s="3"/>
      <c r="DX71" s="2">
        <v>1780.21</v>
      </c>
      <c r="DY71" s="3"/>
      <c r="DZ71" s="2">
        <v>1269.19</v>
      </c>
      <c r="EA71" s="3"/>
      <c r="EB71" s="2">
        <v>1200.23</v>
      </c>
      <c r="EC71" s="3"/>
      <c r="ED71" s="2">
        <v>1478.19</v>
      </c>
      <c r="EE71" s="3"/>
      <c r="EF71" s="2">
        <v>802.1</v>
      </c>
      <c r="EG71" s="3"/>
      <c r="EH71" s="2">
        <f t="shared" si="2"/>
        <v>124364.78</v>
      </c>
    </row>
    <row r="72" spans="1:138" x14ac:dyDescent="0.45">
      <c r="A72" s="1"/>
      <c r="B72" s="1"/>
      <c r="C72" s="1"/>
      <c r="D72" s="1"/>
      <c r="E72" s="1" t="s">
        <v>137</v>
      </c>
      <c r="F72" s="2">
        <v>0</v>
      </c>
      <c r="G72" s="3"/>
      <c r="H72" s="2">
        <v>83.95</v>
      </c>
      <c r="I72" s="3"/>
      <c r="J72" s="2">
        <v>420</v>
      </c>
      <c r="K72" s="3"/>
      <c r="L72" s="2">
        <v>0</v>
      </c>
      <c r="M72" s="3"/>
      <c r="N72" s="2">
        <v>153.4</v>
      </c>
      <c r="O72" s="3"/>
      <c r="P72" s="2">
        <v>220</v>
      </c>
      <c r="Q72" s="3"/>
      <c r="R72" s="2">
        <v>0</v>
      </c>
      <c r="S72" s="3"/>
      <c r="T72" s="2">
        <v>264.94</v>
      </c>
      <c r="U72" s="3"/>
      <c r="V72" s="2">
        <v>0</v>
      </c>
      <c r="W72" s="3"/>
      <c r="X72" s="2">
        <v>255.39</v>
      </c>
      <c r="Y72" s="3"/>
      <c r="Z72" s="2">
        <v>166.78</v>
      </c>
      <c r="AA72" s="3"/>
      <c r="AB72" s="2">
        <v>255.39</v>
      </c>
      <c r="AC72" s="3"/>
      <c r="AD72" s="2">
        <v>201</v>
      </c>
      <c r="AE72" s="3"/>
      <c r="AF72" s="2">
        <v>0</v>
      </c>
      <c r="AG72" s="3"/>
      <c r="AH72" s="2">
        <v>255.39</v>
      </c>
      <c r="AI72" s="3"/>
      <c r="AJ72" s="2">
        <v>0</v>
      </c>
      <c r="AK72" s="3"/>
      <c r="AL72" s="2">
        <v>0</v>
      </c>
      <c r="AM72" s="3"/>
      <c r="AN72" s="2">
        <v>456.39</v>
      </c>
      <c r="AO72" s="3"/>
      <c r="AP72" s="2">
        <v>36.29</v>
      </c>
      <c r="AQ72" s="3"/>
      <c r="AR72" s="2">
        <v>0</v>
      </c>
      <c r="AS72" s="3"/>
      <c r="AT72" s="2">
        <v>255.39</v>
      </c>
      <c r="AU72" s="3"/>
      <c r="AV72" s="2">
        <v>0</v>
      </c>
      <c r="AW72" s="3"/>
      <c r="AX72" s="2">
        <v>201</v>
      </c>
      <c r="AY72" s="3"/>
      <c r="AZ72" s="2">
        <v>290.23</v>
      </c>
      <c r="BA72" s="3"/>
      <c r="BB72" s="2">
        <v>0</v>
      </c>
      <c r="BC72" s="3"/>
      <c r="BD72" s="2">
        <v>0</v>
      </c>
      <c r="BE72" s="3"/>
      <c r="BF72" s="2">
        <v>491.33</v>
      </c>
      <c r="BG72" s="3"/>
      <c r="BH72" s="2">
        <v>0</v>
      </c>
      <c r="BI72" s="3"/>
      <c r="BJ72" s="2">
        <v>298.08</v>
      </c>
      <c r="BK72" s="3"/>
      <c r="BL72" s="2">
        <v>286.25</v>
      </c>
      <c r="BM72" s="3"/>
      <c r="BN72" s="2">
        <v>0</v>
      </c>
      <c r="BO72" s="3"/>
      <c r="BP72" s="2">
        <v>185.16</v>
      </c>
      <c r="BQ72" s="3"/>
      <c r="BR72" s="2">
        <v>246.88</v>
      </c>
      <c r="BS72" s="3"/>
      <c r="BT72" s="2">
        <v>502.27</v>
      </c>
      <c r="BU72" s="3"/>
      <c r="BV72" s="2">
        <v>575.64</v>
      </c>
      <c r="BW72" s="3"/>
      <c r="BX72" s="2">
        <v>0</v>
      </c>
      <c r="BY72" s="3"/>
      <c r="BZ72" s="2">
        <v>796.03</v>
      </c>
      <c r="CA72" s="3"/>
      <c r="CB72" s="2">
        <v>1621.92</v>
      </c>
      <c r="CC72" s="3"/>
      <c r="CD72" s="2">
        <v>0</v>
      </c>
      <c r="CE72" s="3"/>
      <c r="CF72" s="2">
        <v>255.39</v>
      </c>
      <c r="CG72" s="3"/>
      <c r="CH72" s="2">
        <v>35</v>
      </c>
      <c r="CI72" s="3"/>
      <c r="CJ72" s="2">
        <v>0</v>
      </c>
      <c r="CK72" s="3"/>
      <c r="CL72" s="2">
        <v>255.39</v>
      </c>
      <c r="CM72" s="3"/>
      <c r="CN72" s="2">
        <v>35</v>
      </c>
      <c r="CO72" s="3"/>
      <c r="CP72" s="2">
        <v>0</v>
      </c>
      <c r="CQ72" s="3"/>
      <c r="CR72" s="2">
        <v>255.39</v>
      </c>
      <c r="CS72" s="3"/>
      <c r="CT72" s="2">
        <v>35</v>
      </c>
      <c r="CU72" s="3"/>
      <c r="CV72" s="2">
        <v>0</v>
      </c>
      <c r="CW72" s="3"/>
      <c r="CX72" s="2">
        <v>270.77</v>
      </c>
      <c r="CY72" s="3"/>
      <c r="CZ72" s="2">
        <v>0</v>
      </c>
      <c r="DA72" s="3"/>
      <c r="DB72" s="2">
        <v>270.77</v>
      </c>
      <c r="DC72" s="3"/>
      <c r="DD72" s="2">
        <v>0</v>
      </c>
      <c r="DE72" s="3"/>
      <c r="DF72" s="2">
        <v>0</v>
      </c>
      <c r="DG72" s="3"/>
      <c r="DH72" s="2">
        <v>0</v>
      </c>
      <c r="DI72" s="3"/>
      <c r="DJ72" s="2">
        <v>0</v>
      </c>
      <c r="DK72" s="3"/>
      <c r="DL72" s="2">
        <v>270.77</v>
      </c>
      <c r="DM72" s="3"/>
      <c r="DN72" s="2">
        <v>0</v>
      </c>
      <c r="DO72" s="3"/>
      <c r="DP72" s="2">
        <v>0</v>
      </c>
      <c r="DQ72" s="3"/>
      <c r="DR72" s="2">
        <v>270.77</v>
      </c>
      <c r="DS72" s="3"/>
      <c r="DT72" s="2">
        <v>0</v>
      </c>
      <c r="DU72" s="3"/>
      <c r="DV72" s="2">
        <v>74.13</v>
      </c>
      <c r="DW72" s="3"/>
      <c r="DX72" s="2">
        <v>270.77</v>
      </c>
      <c r="DY72" s="3"/>
      <c r="DZ72" s="2">
        <v>0</v>
      </c>
      <c r="EA72" s="3"/>
      <c r="EB72" s="2">
        <v>0</v>
      </c>
      <c r="EC72" s="3"/>
      <c r="ED72" s="2">
        <v>0</v>
      </c>
      <c r="EE72" s="3"/>
      <c r="EF72" s="2">
        <v>270.77</v>
      </c>
      <c r="EG72" s="3"/>
      <c r="EH72" s="2">
        <f t="shared" si="2"/>
        <v>11089.02</v>
      </c>
    </row>
    <row r="73" spans="1:138" x14ac:dyDescent="0.45">
      <c r="A73" s="1"/>
      <c r="B73" s="1"/>
      <c r="C73" s="1"/>
      <c r="D73" s="1"/>
      <c r="E73" s="1" t="s">
        <v>138</v>
      </c>
      <c r="F73" s="2">
        <v>466</v>
      </c>
      <c r="G73" s="3"/>
      <c r="H73" s="2">
        <v>992.58</v>
      </c>
      <c r="I73" s="3"/>
      <c r="J73" s="2">
        <v>936.35</v>
      </c>
      <c r="K73" s="3"/>
      <c r="L73" s="2">
        <v>2260</v>
      </c>
      <c r="M73" s="3"/>
      <c r="N73" s="2">
        <v>4462</v>
      </c>
      <c r="O73" s="3"/>
      <c r="P73" s="2">
        <v>49.8</v>
      </c>
      <c r="Q73" s="3"/>
      <c r="R73" s="2">
        <v>561</v>
      </c>
      <c r="S73" s="3"/>
      <c r="T73" s="2">
        <v>550</v>
      </c>
      <c r="U73" s="3"/>
      <c r="V73" s="2">
        <v>4881.3900000000003</v>
      </c>
      <c r="W73" s="3"/>
      <c r="X73" s="2">
        <v>6899.75</v>
      </c>
      <c r="Y73" s="3"/>
      <c r="Z73" s="2">
        <v>17468.7</v>
      </c>
      <c r="AA73" s="3"/>
      <c r="AB73" s="2">
        <v>6943.75</v>
      </c>
      <c r="AC73" s="3"/>
      <c r="AD73" s="2">
        <v>969</v>
      </c>
      <c r="AE73" s="3"/>
      <c r="AF73" s="2">
        <v>1326.5</v>
      </c>
      <c r="AG73" s="3"/>
      <c r="AH73" s="2">
        <v>6524.75</v>
      </c>
      <c r="AI73" s="3"/>
      <c r="AJ73" s="2">
        <v>2889</v>
      </c>
      <c r="AK73" s="3"/>
      <c r="AL73" s="2">
        <v>675</v>
      </c>
      <c r="AM73" s="3"/>
      <c r="AN73" s="2">
        <v>5860.25</v>
      </c>
      <c r="AO73" s="3"/>
      <c r="AP73" s="2">
        <v>7497.83</v>
      </c>
      <c r="AQ73" s="3"/>
      <c r="AR73" s="2">
        <v>517.5</v>
      </c>
      <c r="AS73" s="3"/>
      <c r="AT73" s="2">
        <v>12329</v>
      </c>
      <c r="AU73" s="3"/>
      <c r="AV73" s="2">
        <v>1139</v>
      </c>
      <c r="AW73" s="3"/>
      <c r="AX73" s="2">
        <v>5277.55</v>
      </c>
      <c r="AY73" s="3"/>
      <c r="AZ73" s="2">
        <v>1174.5</v>
      </c>
      <c r="BA73" s="3"/>
      <c r="BB73" s="2">
        <v>1718</v>
      </c>
      <c r="BC73" s="3"/>
      <c r="BD73" s="2">
        <v>2485</v>
      </c>
      <c r="BE73" s="3"/>
      <c r="BF73" s="2">
        <v>5306.37</v>
      </c>
      <c r="BG73" s="3"/>
      <c r="BH73" s="2">
        <v>1228</v>
      </c>
      <c r="BI73" s="3"/>
      <c r="BJ73" s="2">
        <v>753.4</v>
      </c>
      <c r="BK73" s="3"/>
      <c r="BL73" s="2">
        <v>1161.71</v>
      </c>
      <c r="BM73" s="3"/>
      <c r="BN73" s="2">
        <v>778</v>
      </c>
      <c r="BO73" s="3"/>
      <c r="BP73" s="2">
        <v>150</v>
      </c>
      <c r="BQ73" s="3"/>
      <c r="BR73" s="2">
        <v>767.28</v>
      </c>
      <c r="BS73" s="3"/>
      <c r="BT73" s="2">
        <v>788</v>
      </c>
      <c r="BU73" s="3"/>
      <c r="BV73" s="2">
        <v>995</v>
      </c>
      <c r="BW73" s="3"/>
      <c r="BX73" s="2">
        <v>1184</v>
      </c>
      <c r="BY73" s="3"/>
      <c r="BZ73" s="2">
        <v>3071.88</v>
      </c>
      <c r="CA73" s="3"/>
      <c r="CB73" s="2">
        <v>0</v>
      </c>
      <c r="CC73" s="3"/>
      <c r="CD73" s="2">
        <v>4634</v>
      </c>
      <c r="CE73" s="3"/>
      <c r="CF73" s="2">
        <v>-2483</v>
      </c>
      <c r="CG73" s="3"/>
      <c r="CH73" s="2">
        <v>0</v>
      </c>
      <c r="CI73" s="3"/>
      <c r="CJ73" s="2">
        <v>850</v>
      </c>
      <c r="CK73" s="3"/>
      <c r="CL73" s="2">
        <v>567</v>
      </c>
      <c r="CM73" s="3"/>
      <c r="CN73" s="2">
        <v>448.6</v>
      </c>
      <c r="CO73" s="3"/>
      <c r="CP73" s="2">
        <v>1365.51</v>
      </c>
      <c r="CQ73" s="3"/>
      <c r="CR73" s="2">
        <v>350</v>
      </c>
      <c r="CS73" s="3"/>
      <c r="CT73" s="2">
        <v>1763.25</v>
      </c>
      <c r="CU73" s="3"/>
      <c r="CV73" s="2">
        <v>455</v>
      </c>
      <c r="CW73" s="3"/>
      <c r="CX73" s="2">
        <v>595</v>
      </c>
      <c r="CY73" s="3"/>
      <c r="CZ73" s="2">
        <v>0</v>
      </c>
      <c r="DA73" s="3"/>
      <c r="DB73" s="2">
        <v>3395</v>
      </c>
      <c r="DC73" s="3"/>
      <c r="DD73" s="2">
        <v>5615</v>
      </c>
      <c r="DE73" s="3"/>
      <c r="DF73" s="2">
        <v>2090.64</v>
      </c>
      <c r="DG73" s="3"/>
      <c r="DH73" s="2">
        <v>70</v>
      </c>
      <c r="DI73" s="3"/>
      <c r="DJ73" s="2">
        <v>1315</v>
      </c>
      <c r="DK73" s="3"/>
      <c r="DL73" s="2">
        <v>1448</v>
      </c>
      <c r="DM73" s="3"/>
      <c r="DN73" s="2">
        <v>712.5</v>
      </c>
      <c r="DO73" s="3"/>
      <c r="DP73" s="2">
        <v>317</v>
      </c>
      <c r="DQ73" s="3"/>
      <c r="DR73" s="2">
        <v>0</v>
      </c>
      <c r="DS73" s="3"/>
      <c r="DT73" s="2">
        <v>995</v>
      </c>
      <c r="DU73" s="3"/>
      <c r="DV73" s="2">
        <v>1136</v>
      </c>
      <c r="DW73" s="3"/>
      <c r="DX73" s="2">
        <v>3425</v>
      </c>
      <c r="DY73" s="3"/>
      <c r="DZ73" s="2">
        <v>5548</v>
      </c>
      <c r="EA73" s="3"/>
      <c r="EB73" s="2">
        <v>919.95</v>
      </c>
      <c r="EC73" s="3"/>
      <c r="ED73" s="2">
        <v>1452.11</v>
      </c>
      <c r="EE73" s="3"/>
      <c r="EF73" s="2">
        <v>3701</v>
      </c>
      <c r="EG73" s="3"/>
      <c r="EH73" s="2">
        <f t="shared" si="2"/>
        <v>153723.4</v>
      </c>
    </row>
    <row r="74" spans="1:138" x14ac:dyDescent="0.45">
      <c r="A74" s="1"/>
      <c r="B74" s="1"/>
      <c r="C74" s="1"/>
      <c r="D74" s="1"/>
      <c r="E74" s="1" t="s">
        <v>139</v>
      </c>
      <c r="F74" s="2">
        <v>754.2</v>
      </c>
      <c r="G74" s="3"/>
      <c r="H74" s="2">
        <v>742.18</v>
      </c>
      <c r="I74" s="3"/>
      <c r="J74" s="2">
        <v>846.38</v>
      </c>
      <c r="K74" s="3"/>
      <c r="L74" s="2">
        <v>1548.65</v>
      </c>
      <c r="M74" s="3"/>
      <c r="N74" s="2">
        <v>699.53</v>
      </c>
      <c r="O74" s="3"/>
      <c r="P74" s="2">
        <v>816.39</v>
      </c>
      <c r="Q74" s="3"/>
      <c r="R74" s="2">
        <v>814.97</v>
      </c>
      <c r="S74" s="3"/>
      <c r="T74" s="2">
        <v>816.67</v>
      </c>
      <c r="U74" s="3"/>
      <c r="V74" s="2">
        <v>816.43</v>
      </c>
      <c r="W74" s="3"/>
      <c r="X74" s="2">
        <v>844.98</v>
      </c>
      <c r="Y74" s="3"/>
      <c r="Z74" s="2">
        <v>968.6</v>
      </c>
      <c r="AA74" s="3"/>
      <c r="AB74" s="2">
        <v>896.06</v>
      </c>
      <c r="AC74" s="3"/>
      <c r="AD74" s="2">
        <v>769.67</v>
      </c>
      <c r="AE74" s="3"/>
      <c r="AF74" s="2">
        <v>1288.1600000000001</v>
      </c>
      <c r="AG74" s="3"/>
      <c r="AH74" s="2">
        <v>911.25</v>
      </c>
      <c r="AI74" s="3"/>
      <c r="AJ74" s="2">
        <v>709.46</v>
      </c>
      <c r="AK74" s="3"/>
      <c r="AL74" s="2">
        <v>1238.31</v>
      </c>
      <c r="AM74" s="3"/>
      <c r="AN74" s="2">
        <v>291.58</v>
      </c>
      <c r="AO74" s="3"/>
      <c r="AP74" s="2">
        <v>1086.04</v>
      </c>
      <c r="AQ74" s="3"/>
      <c r="AR74" s="2">
        <v>1132.6600000000001</v>
      </c>
      <c r="AS74" s="3"/>
      <c r="AT74" s="2">
        <v>1423.01</v>
      </c>
      <c r="AU74" s="3"/>
      <c r="AV74" s="2">
        <v>594.89</v>
      </c>
      <c r="AW74" s="3"/>
      <c r="AX74" s="2">
        <v>1610.67</v>
      </c>
      <c r="AY74" s="3"/>
      <c r="AZ74" s="2">
        <v>1063.5899999999999</v>
      </c>
      <c r="BA74" s="3"/>
      <c r="BB74" s="2">
        <v>971.87</v>
      </c>
      <c r="BC74" s="3"/>
      <c r="BD74" s="2">
        <v>727.77</v>
      </c>
      <c r="BE74" s="3"/>
      <c r="BF74" s="2">
        <v>950.26</v>
      </c>
      <c r="BG74" s="3"/>
      <c r="BH74" s="2">
        <v>610.89</v>
      </c>
      <c r="BI74" s="3"/>
      <c r="BJ74" s="2">
        <v>1225.55</v>
      </c>
      <c r="BK74" s="3"/>
      <c r="BL74" s="2">
        <v>1139.6300000000001</v>
      </c>
      <c r="BM74" s="3"/>
      <c r="BN74" s="2">
        <v>243.97</v>
      </c>
      <c r="BO74" s="3"/>
      <c r="BP74" s="2">
        <v>1675.29</v>
      </c>
      <c r="BQ74" s="3"/>
      <c r="BR74" s="2">
        <v>1686.94</v>
      </c>
      <c r="BS74" s="3"/>
      <c r="BT74" s="2">
        <v>1072.51</v>
      </c>
      <c r="BU74" s="3"/>
      <c r="BV74" s="2">
        <v>1177.43</v>
      </c>
      <c r="BW74" s="3"/>
      <c r="BX74" s="2">
        <v>598.64</v>
      </c>
      <c r="BY74" s="3"/>
      <c r="BZ74" s="2">
        <v>473.67</v>
      </c>
      <c r="CA74" s="3"/>
      <c r="CB74" s="2">
        <v>972.07</v>
      </c>
      <c r="CC74" s="3"/>
      <c r="CD74" s="2">
        <v>245.87</v>
      </c>
      <c r="CE74" s="3"/>
      <c r="CF74" s="2">
        <v>891.7</v>
      </c>
      <c r="CG74" s="3"/>
      <c r="CH74" s="2">
        <v>1581.73</v>
      </c>
      <c r="CI74" s="3"/>
      <c r="CJ74" s="2">
        <v>792</v>
      </c>
      <c r="CK74" s="3"/>
      <c r="CL74" s="2">
        <v>1674.2</v>
      </c>
      <c r="CM74" s="3"/>
      <c r="CN74" s="2">
        <v>882.79</v>
      </c>
      <c r="CO74" s="3"/>
      <c r="CP74" s="2">
        <v>705.72</v>
      </c>
      <c r="CQ74" s="3"/>
      <c r="CR74" s="2">
        <v>668.04</v>
      </c>
      <c r="CS74" s="3"/>
      <c r="CT74" s="2">
        <v>543.41</v>
      </c>
      <c r="CU74" s="3"/>
      <c r="CV74" s="2">
        <v>543.55999999999995</v>
      </c>
      <c r="CW74" s="3"/>
      <c r="CX74" s="2">
        <v>555.16999999999996</v>
      </c>
      <c r="CY74" s="3"/>
      <c r="CZ74" s="2">
        <v>555.16999999999996</v>
      </c>
      <c r="DA74" s="3"/>
      <c r="DB74" s="2">
        <v>551.41</v>
      </c>
      <c r="DC74" s="3"/>
      <c r="DD74" s="2">
        <v>551.54999999999995</v>
      </c>
      <c r="DE74" s="3"/>
      <c r="DF74" s="2">
        <v>552.49</v>
      </c>
      <c r="DG74" s="3"/>
      <c r="DH74" s="2">
        <v>563.22</v>
      </c>
      <c r="DI74" s="3"/>
      <c r="DJ74" s="2">
        <v>548.55999999999995</v>
      </c>
      <c r="DK74" s="3"/>
      <c r="DL74" s="2">
        <v>1349.81</v>
      </c>
      <c r="DM74" s="3"/>
      <c r="DN74" s="2">
        <v>531.44000000000005</v>
      </c>
      <c r="DO74" s="3"/>
      <c r="DP74" s="2">
        <v>532.52</v>
      </c>
      <c r="DQ74" s="3"/>
      <c r="DR74" s="2">
        <v>536.35</v>
      </c>
      <c r="DS74" s="3"/>
      <c r="DT74" s="2">
        <v>540.16</v>
      </c>
      <c r="DU74" s="3"/>
      <c r="DV74" s="2">
        <v>535.9</v>
      </c>
      <c r="DW74" s="3"/>
      <c r="DX74" s="2">
        <v>542.91999999999996</v>
      </c>
      <c r="DY74" s="3"/>
      <c r="DZ74" s="2">
        <v>281.33</v>
      </c>
      <c r="EA74" s="3"/>
      <c r="EB74" s="2">
        <v>838.33</v>
      </c>
      <c r="EC74" s="3"/>
      <c r="ED74" s="2">
        <v>597.05999999999995</v>
      </c>
      <c r="EE74" s="3"/>
      <c r="EF74" s="2">
        <v>545.17999999999995</v>
      </c>
      <c r="EG74" s="3"/>
      <c r="EH74" s="2">
        <f t="shared" si="2"/>
        <v>55448.41</v>
      </c>
    </row>
    <row r="75" spans="1:138" x14ac:dyDescent="0.45">
      <c r="A75" s="1"/>
      <c r="B75" s="1"/>
      <c r="C75" s="1"/>
      <c r="D75" s="1"/>
      <c r="E75" s="1" t="s">
        <v>140</v>
      </c>
      <c r="F75" s="2">
        <v>0</v>
      </c>
      <c r="G75" s="3"/>
      <c r="H75" s="2">
        <v>0</v>
      </c>
      <c r="I75" s="3"/>
      <c r="J75" s="2">
        <v>0</v>
      </c>
      <c r="K75" s="3"/>
      <c r="L75" s="2">
        <v>0</v>
      </c>
      <c r="M75" s="3"/>
      <c r="N75" s="2">
        <v>0</v>
      </c>
      <c r="O75" s="3"/>
      <c r="P75" s="2">
        <v>0</v>
      </c>
      <c r="Q75" s="3"/>
      <c r="R75" s="2">
        <v>0</v>
      </c>
      <c r="S75" s="3"/>
      <c r="T75" s="2">
        <v>0</v>
      </c>
      <c r="U75" s="3"/>
      <c r="V75" s="2">
        <v>0</v>
      </c>
      <c r="W75" s="3"/>
      <c r="X75" s="2">
        <v>0</v>
      </c>
      <c r="Y75" s="3"/>
      <c r="Z75" s="2">
        <v>0</v>
      </c>
      <c r="AA75" s="3"/>
      <c r="AB75" s="2">
        <v>0</v>
      </c>
      <c r="AC75" s="3"/>
      <c r="AD75" s="2">
        <v>0</v>
      </c>
      <c r="AE75" s="3"/>
      <c r="AF75" s="2">
        <v>0</v>
      </c>
      <c r="AG75" s="3"/>
      <c r="AH75" s="2">
        <v>0</v>
      </c>
      <c r="AI75" s="3"/>
      <c r="AJ75" s="2">
        <v>0</v>
      </c>
      <c r="AK75" s="3"/>
      <c r="AL75" s="2">
        <v>0</v>
      </c>
      <c r="AM75" s="3"/>
      <c r="AN75" s="2">
        <v>0</v>
      </c>
      <c r="AO75" s="3"/>
      <c r="AP75" s="2">
        <v>0</v>
      </c>
      <c r="AQ75" s="3"/>
      <c r="AR75" s="2">
        <v>0</v>
      </c>
      <c r="AS75" s="3"/>
      <c r="AT75" s="2">
        <v>0</v>
      </c>
      <c r="AU75" s="3"/>
      <c r="AV75" s="2">
        <v>0</v>
      </c>
      <c r="AW75" s="3"/>
      <c r="AX75" s="2">
        <v>0</v>
      </c>
      <c r="AY75" s="3"/>
      <c r="AZ75" s="2">
        <v>0</v>
      </c>
      <c r="BA75" s="3"/>
      <c r="BB75" s="2">
        <v>0</v>
      </c>
      <c r="BC75" s="3"/>
      <c r="BD75" s="2">
        <v>0</v>
      </c>
      <c r="BE75" s="3"/>
      <c r="BF75" s="2">
        <v>0</v>
      </c>
      <c r="BG75" s="3"/>
      <c r="BH75" s="2">
        <v>0</v>
      </c>
      <c r="BI75" s="3"/>
      <c r="BJ75" s="2">
        <v>0</v>
      </c>
      <c r="BK75" s="3"/>
      <c r="BL75" s="2">
        <v>0</v>
      </c>
      <c r="BM75" s="3"/>
      <c r="BN75" s="2">
        <v>0</v>
      </c>
      <c r="BO75" s="3"/>
      <c r="BP75" s="2">
        <v>0</v>
      </c>
      <c r="BQ75" s="3"/>
      <c r="BR75" s="2">
        <v>0</v>
      </c>
      <c r="BS75" s="3"/>
      <c r="BT75" s="2">
        <v>0</v>
      </c>
      <c r="BU75" s="3"/>
      <c r="BV75" s="2">
        <v>0</v>
      </c>
      <c r="BW75" s="3"/>
      <c r="BX75" s="2">
        <v>0</v>
      </c>
      <c r="BY75" s="3"/>
      <c r="BZ75" s="2">
        <v>0</v>
      </c>
      <c r="CA75" s="3"/>
      <c r="CB75" s="2">
        <v>0</v>
      </c>
      <c r="CC75" s="3"/>
      <c r="CD75" s="2">
        <v>0</v>
      </c>
      <c r="CE75" s="3"/>
      <c r="CF75" s="2">
        <v>0</v>
      </c>
      <c r="CG75" s="3"/>
      <c r="CH75" s="2">
        <v>0</v>
      </c>
      <c r="CI75" s="3"/>
      <c r="CJ75" s="2">
        <v>0</v>
      </c>
      <c r="CK75" s="3"/>
      <c r="CL75" s="2">
        <v>0</v>
      </c>
      <c r="CM75" s="3"/>
      <c r="CN75" s="2">
        <v>0</v>
      </c>
      <c r="CO75" s="3"/>
      <c r="CP75" s="2">
        <v>0</v>
      </c>
      <c r="CQ75" s="3"/>
      <c r="CR75" s="2">
        <v>0</v>
      </c>
      <c r="CS75" s="3"/>
      <c r="CT75" s="2">
        <v>0</v>
      </c>
      <c r="CU75" s="3"/>
      <c r="CV75" s="2">
        <v>0</v>
      </c>
      <c r="CW75" s="3"/>
      <c r="CX75" s="2">
        <v>0</v>
      </c>
      <c r="CY75" s="3"/>
      <c r="CZ75" s="2">
        <v>0</v>
      </c>
      <c r="DA75" s="3"/>
      <c r="DB75" s="2">
        <v>0</v>
      </c>
      <c r="DC75" s="3"/>
      <c r="DD75" s="2">
        <v>0</v>
      </c>
      <c r="DE75" s="3"/>
      <c r="DF75" s="2">
        <v>1755.11</v>
      </c>
      <c r="DG75" s="3"/>
      <c r="DH75" s="2">
        <v>1278.99</v>
      </c>
      <c r="DI75" s="3"/>
      <c r="DJ75" s="2">
        <v>1792.66</v>
      </c>
      <c r="DK75" s="3"/>
      <c r="DL75" s="2">
        <v>0</v>
      </c>
      <c r="DM75" s="3"/>
      <c r="DN75" s="2">
        <v>0</v>
      </c>
      <c r="DO75" s="3"/>
      <c r="DP75" s="2">
        <v>0</v>
      </c>
      <c r="DQ75" s="3"/>
      <c r="DR75" s="2">
        <v>0</v>
      </c>
      <c r="DS75" s="3"/>
      <c r="DT75" s="2">
        <v>0</v>
      </c>
      <c r="DU75" s="3"/>
      <c r="DV75" s="2">
        <v>0</v>
      </c>
      <c r="DW75" s="3"/>
      <c r="DX75" s="2">
        <v>0</v>
      </c>
      <c r="DY75" s="3"/>
      <c r="DZ75" s="2">
        <v>0</v>
      </c>
      <c r="EA75" s="3"/>
      <c r="EB75" s="2">
        <v>0</v>
      </c>
      <c r="EC75" s="3"/>
      <c r="ED75" s="2">
        <v>0</v>
      </c>
      <c r="EE75" s="3"/>
      <c r="EF75" s="2">
        <v>0</v>
      </c>
      <c r="EG75" s="3"/>
      <c r="EH75" s="2">
        <f t="shared" si="2"/>
        <v>4826.76</v>
      </c>
    </row>
    <row r="76" spans="1:138" x14ac:dyDescent="0.45">
      <c r="A76" s="1"/>
      <c r="B76" s="1"/>
      <c r="C76" s="1"/>
      <c r="D76" s="1"/>
      <c r="E76" s="1" t="s">
        <v>141</v>
      </c>
      <c r="F76" s="2">
        <v>0</v>
      </c>
      <c r="G76" s="3"/>
      <c r="H76" s="2">
        <v>0</v>
      </c>
      <c r="I76" s="3"/>
      <c r="J76" s="2">
        <v>0</v>
      </c>
      <c r="K76" s="3"/>
      <c r="L76" s="2">
        <v>0</v>
      </c>
      <c r="M76" s="3"/>
      <c r="N76" s="2">
        <v>79.37</v>
      </c>
      <c r="O76" s="3"/>
      <c r="P76" s="2">
        <v>0</v>
      </c>
      <c r="Q76" s="3"/>
      <c r="R76" s="2">
        <v>0</v>
      </c>
      <c r="S76" s="3"/>
      <c r="T76" s="2">
        <v>0</v>
      </c>
      <c r="U76" s="3"/>
      <c r="V76" s="2">
        <v>0</v>
      </c>
      <c r="W76" s="3"/>
      <c r="X76" s="2">
        <v>0</v>
      </c>
      <c r="Y76" s="3"/>
      <c r="Z76" s="2">
        <v>304.94</v>
      </c>
      <c r="AA76" s="3"/>
      <c r="AB76" s="2">
        <v>0</v>
      </c>
      <c r="AC76" s="3"/>
      <c r="AD76" s="2">
        <v>0</v>
      </c>
      <c r="AE76" s="3"/>
      <c r="AF76" s="2">
        <v>0</v>
      </c>
      <c r="AG76" s="3"/>
      <c r="AH76" s="2">
        <v>17.8</v>
      </c>
      <c r="AI76" s="3"/>
      <c r="AJ76" s="2">
        <v>0</v>
      </c>
      <c r="AK76" s="3"/>
      <c r="AL76" s="2">
        <v>127.7</v>
      </c>
      <c r="AM76" s="3"/>
      <c r="AN76" s="2">
        <v>0</v>
      </c>
      <c r="AO76" s="3"/>
      <c r="AP76" s="2">
        <v>22.12</v>
      </c>
      <c r="AQ76" s="3"/>
      <c r="AR76" s="2">
        <v>153.83000000000001</v>
      </c>
      <c r="AS76" s="3"/>
      <c r="AT76" s="2">
        <v>0</v>
      </c>
      <c r="AU76" s="3"/>
      <c r="AV76" s="2">
        <v>0</v>
      </c>
      <c r="AW76" s="3"/>
      <c r="AX76" s="2">
        <v>66.430000000000007</v>
      </c>
      <c r="AY76" s="3"/>
      <c r="AZ76" s="2">
        <v>0</v>
      </c>
      <c r="BA76" s="3"/>
      <c r="BB76" s="2">
        <v>44.8</v>
      </c>
      <c r="BC76" s="3"/>
      <c r="BD76" s="2">
        <v>0</v>
      </c>
      <c r="BE76" s="3"/>
      <c r="BF76" s="2">
        <v>0</v>
      </c>
      <c r="BG76" s="3"/>
      <c r="BH76" s="2">
        <v>0</v>
      </c>
      <c r="BI76" s="3"/>
      <c r="BJ76" s="2">
        <v>0</v>
      </c>
      <c r="BK76" s="3"/>
      <c r="BL76" s="2">
        <v>23.94</v>
      </c>
      <c r="BM76" s="3"/>
      <c r="BN76" s="2">
        <v>0</v>
      </c>
      <c r="BO76" s="3"/>
      <c r="BP76" s="2">
        <v>0</v>
      </c>
      <c r="BQ76" s="3"/>
      <c r="BR76" s="2">
        <v>16</v>
      </c>
      <c r="BS76" s="3"/>
      <c r="BT76" s="2">
        <v>0</v>
      </c>
      <c r="BU76" s="3"/>
      <c r="BV76" s="2">
        <v>0</v>
      </c>
      <c r="BW76" s="3"/>
      <c r="BX76" s="2">
        <v>61.25</v>
      </c>
      <c r="BY76" s="3"/>
      <c r="BZ76" s="2">
        <v>0</v>
      </c>
      <c r="CA76" s="3"/>
      <c r="CB76" s="2">
        <v>0</v>
      </c>
      <c r="CC76" s="3"/>
      <c r="CD76" s="2">
        <v>0</v>
      </c>
      <c r="CE76" s="3"/>
      <c r="CF76" s="2">
        <v>0</v>
      </c>
      <c r="CG76" s="3"/>
      <c r="CH76" s="2">
        <v>0</v>
      </c>
      <c r="CI76" s="3"/>
      <c r="CJ76" s="2">
        <v>0</v>
      </c>
      <c r="CK76" s="3"/>
      <c r="CL76" s="2">
        <v>0</v>
      </c>
      <c r="CM76" s="3"/>
      <c r="CN76" s="2">
        <v>19.8</v>
      </c>
      <c r="CO76" s="3"/>
      <c r="CP76" s="2">
        <v>77.349999999999994</v>
      </c>
      <c r="CQ76" s="3"/>
      <c r="CR76" s="2">
        <v>0</v>
      </c>
      <c r="CS76" s="3"/>
      <c r="CT76" s="2">
        <v>0</v>
      </c>
      <c r="CU76" s="3"/>
      <c r="CV76" s="2">
        <v>709.14</v>
      </c>
      <c r="CW76" s="3"/>
      <c r="CX76" s="2">
        <v>681.08</v>
      </c>
      <c r="CY76" s="3"/>
      <c r="CZ76" s="2">
        <v>35.130000000000003</v>
      </c>
      <c r="DA76" s="3"/>
      <c r="DB76" s="2">
        <v>237.98</v>
      </c>
      <c r="DC76" s="3"/>
      <c r="DD76" s="2">
        <v>258.8</v>
      </c>
      <c r="DE76" s="3"/>
      <c r="DF76" s="2">
        <v>0</v>
      </c>
      <c r="DG76" s="3"/>
      <c r="DH76" s="2">
        <v>142.69</v>
      </c>
      <c r="DI76" s="3"/>
      <c r="DJ76" s="2">
        <v>100.9</v>
      </c>
      <c r="DK76" s="3"/>
      <c r="DL76" s="2">
        <v>0</v>
      </c>
      <c r="DM76" s="3"/>
      <c r="DN76" s="2">
        <v>0</v>
      </c>
      <c r="DO76" s="3"/>
      <c r="DP76" s="2">
        <v>59.69</v>
      </c>
      <c r="DQ76" s="3"/>
      <c r="DR76" s="2">
        <v>0</v>
      </c>
      <c r="DS76" s="3"/>
      <c r="DT76" s="2">
        <v>640.53</v>
      </c>
      <c r="DU76" s="3"/>
      <c r="DV76" s="2">
        <v>238.95</v>
      </c>
      <c r="DW76" s="3"/>
      <c r="DX76" s="2">
        <v>0</v>
      </c>
      <c r="DY76" s="3"/>
      <c r="DZ76" s="2">
        <v>0</v>
      </c>
      <c r="EA76" s="3"/>
      <c r="EB76" s="2">
        <v>274.48</v>
      </c>
      <c r="EC76" s="3"/>
      <c r="ED76" s="2">
        <v>0</v>
      </c>
      <c r="EE76" s="3"/>
      <c r="EF76" s="2">
        <v>0</v>
      </c>
      <c r="EG76" s="3"/>
      <c r="EH76" s="2">
        <f t="shared" si="2"/>
        <v>4394.7</v>
      </c>
    </row>
    <row r="77" spans="1:138" x14ac:dyDescent="0.45">
      <c r="A77" s="1"/>
      <c r="B77" s="1"/>
      <c r="C77" s="1"/>
      <c r="D77" s="1"/>
      <c r="E77" s="1" t="s">
        <v>142</v>
      </c>
      <c r="F77" s="2">
        <v>1369.08</v>
      </c>
      <c r="G77" s="3"/>
      <c r="H77" s="2">
        <v>1351.68</v>
      </c>
      <c r="I77" s="3"/>
      <c r="J77" s="2">
        <v>1349.24</v>
      </c>
      <c r="K77" s="3"/>
      <c r="L77" s="2">
        <v>797.32</v>
      </c>
      <c r="M77" s="3"/>
      <c r="N77" s="2">
        <v>624.19000000000005</v>
      </c>
      <c r="O77" s="3"/>
      <c r="P77" s="2">
        <v>622.54</v>
      </c>
      <c r="Q77" s="3"/>
      <c r="R77" s="2">
        <v>539.47</v>
      </c>
      <c r="S77" s="3"/>
      <c r="T77" s="2">
        <v>600.91</v>
      </c>
      <c r="U77" s="3"/>
      <c r="V77" s="2">
        <v>568.41</v>
      </c>
      <c r="W77" s="3"/>
      <c r="X77" s="2">
        <v>563.79</v>
      </c>
      <c r="Y77" s="3"/>
      <c r="Z77" s="2">
        <v>1320.76</v>
      </c>
      <c r="AA77" s="3"/>
      <c r="AB77" s="2">
        <v>1331.43</v>
      </c>
      <c r="AC77" s="3"/>
      <c r="AD77" s="2">
        <v>1594.72</v>
      </c>
      <c r="AE77" s="3"/>
      <c r="AF77" s="2">
        <v>700.5</v>
      </c>
      <c r="AG77" s="3"/>
      <c r="AH77" s="2">
        <v>1375.36</v>
      </c>
      <c r="AI77" s="3"/>
      <c r="AJ77" s="2">
        <v>1210.52</v>
      </c>
      <c r="AK77" s="3"/>
      <c r="AL77" s="2">
        <v>1453.85</v>
      </c>
      <c r="AM77" s="3"/>
      <c r="AN77" s="2">
        <v>418.86</v>
      </c>
      <c r="AO77" s="3"/>
      <c r="AP77" s="2">
        <v>471.76</v>
      </c>
      <c r="AQ77" s="3"/>
      <c r="AR77" s="2">
        <v>476.34</v>
      </c>
      <c r="AS77" s="3"/>
      <c r="AT77" s="2">
        <v>454.72</v>
      </c>
      <c r="AU77" s="3"/>
      <c r="AV77" s="2">
        <v>506.07</v>
      </c>
      <c r="AW77" s="3"/>
      <c r="AX77" s="2">
        <v>742.43</v>
      </c>
      <c r="AY77" s="3"/>
      <c r="AZ77" s="2">
        <v>581.39</v>
      </c>
      <c r="BA77" s="3"/>
      <c r="BB77" s="2">
        <v>651.04</v>
      </c>
      <c r="BC77" s="3"/>
      <c r="BD77" s="2">
        <v>665.27</v>
      </c>
      <c r="BE77" s="3"/>
      <c r="BF77" s="2">
        <v>743.72</v>
      </c>
      <c r="BG77" s="3"/>
      <c r="BH77" s="2">
        <v>624.25</v>
      </c>
      <c r="BI77" s="3"/>
      <c r="BJ77" s="2">
        <v>600.02</v>
      </c>
      <c r="BK77" s="3"/>
      <c r="BL77" s="2">
        <v>567.86</v>
      </c>
      <c r="BM77" s="3"/>
      <c r="BN77" s="2">
        <v>0</v>
      </c>
      <c r="BO77" s="3"/>
      <c r="BP77" s="2">
        <v>1461.79</v>
      </c>
      <c r="BQ77" s="3"/>
      <c r="BR77" s="2">
        <v>852.25</v>
      </c>
      <c r="BS77" s="3"/>
      <c r="BT77" s="2">
        <v>758.79</v>
      </c>
      <c r="BU77" s="3"/>
      <c r="BV77" s="2">
        <v>715.11</v>
      </c>
      <c r="BW77" s="3"/>
      <c r="BX77" s="2">
        <v>794.91</v>
      </c>
      <c r="BY77" s="3"/>
      <c r="BZ77" s="2">
        <v>732.65</v>
      </c>
      <c r="CA77" s="3"/>
      <c r="CB77" s="2">
        <v>0</v>
      </c>
      <c r="CC77" s="3"/>
      <c r="CD77" s="2">
        <v>833.61</v>
      </c>
      <c r="CE77" s="3"/>
      <c r="CF77" s="2">
        <v>1711.49</v>
      </c>
      <c r="CG77" s="3"/>
      <c r="CH77" s="2">
        <v>454.65</v>
      </c>
      <c r="CI77" s="3"/>
      <c r="CJ77" s="2">
        <v>671.28</v>
      </c>
      <c r="CK77" s="3"/>
      <c r="CL77" s="2">
        <v>721.79</v>
      </c>
      <c r="CM77" s="3"/>
      <c r="CN77" s="2">
        <v>1290.1600000000001</v>
      </c>
      <c r="CO77" s="3"/>
      <c r="CP77" s="2">
        <v>1375.56</v>
      </c>
      <c r="CQ77" s="3"/>
      <c r="CR77" s="2">
        <v>739.68</v>
      </c>
      <c r="CS77" s="3"/>
      <c r="CT77" s="2">
        <v>645.45000000000005</v>
      </c>
      <c r="CU77" s="3"/>
      <c r="CV77" s="2">
        <v>1449.91</v>
      </c>
      <c r="CW77" s="3"/>
      <c r="CX77" s="2">
        <v>1504.63</v>
      </c>
      <c r="CY77" s="3"/>
      <c r="CZ77" s="2">
        <v>564.75</v>
      </c>
      <c r="DA77" s="3"/>
      <c r="DB77" s="2">
        <v>1008.32</v>
      </c>
      <c r="DC77" s="3"/>
      <c r="DD77" s="2">
        <v>1197.52</v>
      </c>
      <c r="DE77" s="3"/>
      <c r="DF77" s="2">
        <v>1217.46</v>
      </c>
      <c r="DG77" s="3"/>
      <c r="DH77" s="2">
        <v>1762.75</v>
      </c>
      <c r="DI77" s="3"/>
      <c r="DJ77" s="2">
        <v>1095.24</v>
      </c>
      <c r="DK77" s="3"/>
      <c r="DL77" s="2">
        <v>1616.64</v>
      </c>
      <c r="DM77" s="3"/>
      <c r="DN77" s="2">
        <v>1218.46</v>
      </c>
      <c r="DO77" s="3"/>
      <c r="DP77" s="2">
        <v>1181.07</v>
      </c>
      <c r="DQ77" s="3"/>
      <c r="DR77" s="2">
        <v>464.76</v>
      </c>
      <c r="DS77" s="3"/>
      <c r="DT77" s="2">
        <v>1573.59</v>
      </c>
      <c r="DU77" s="3"/>
      <c r="DV77" s="2">
        <v>0</v>
      </c>
      <c r="DW77" s="3"/>
      <c r="DX77" s="2">
        <v>0</v>
      </c>
      <c r="DY77" s="3"/>
      <c r="DZ77" s="2">
        <v>0</v>
      </c>
      <c r="EA77" s="3"/>
      <c r="EB77" s="2">
        <v>0</v>
      </c>
      <c r="EC77" s="3"/>
      <c r="ED77" s="2">
        <v>0</v>
      </c>
      <c r="EE77" s="3"/>
      <c r="EF77" s="2">
        <v>0</v>
      </c>
      <c r="EG77" s="3"/>
      <c r="EH77" s="2">
        <f t="shared" si="2"/>
        <v>54491.77</v>
      </c>
    </row>
    <row r="78" spans="1:138" x14ac:dyDescent="0.45">
      <c r="A78" s="1"/>
      <c r="B78" s="1"/>
      <c r="C78" s="1"/>
      <c r="D78" s="1"/>
      <c r="E78" s="1" t="s">
        <v>143</v>
      </c>
      <c r="F78" s="2">
        <v>0</v>
      </c>
      <c r="G78" s="3"/>
      <c r="H78" s="2">
        <v>450</v>
      </c>
      <c r="I78" s="3"/>
      <c r="J78" s="2">
        <v>0</v>
      </c>
      <c r="K78" s="3"/>
      <c r="L78" s="2">
        <v>0</v>
      </c>
      <c r="M78" s="3"/>
      <c r="N78" s="2">
        <v>0</v>
      </c>
      <c r="O78" s="3"/>
      <c r="P78" s="2">
        <v>0</v>
      </c>
      <c r="Q78" s="3"/>
      <c r="R78" s="2">
        <v>0</v>
      </c>
      <c r="S78" s="3"/>
      <c r="T78" s="2">
        <v>0</v>
      </c>
      <c r="U78" s="3"/>
      <c r="V78" s="2">
        <v>0</v>
      </c>
      <c r="W78" s="3"/>
      <c r="X78" s="2">
        <v>0</v>
      </c>
      <c r="Y78" s="3"/>
      <c r="Z78" s="2">
        <v>0</v>
      </c>
      <c r="AA78" s="3"/>
      <c r="AB78" s="2">
        <v>0</v>
      </c>
      <c r="AC78" s="3"/>
      <c r="AD78" s="2">
        <v>0</v>
      </c>
      <c r="AE78" s="3"/>
      <c r="AF78" s="2">
        <v>0</v>
      </c>
      <c r="AG78" s="3"/>
      <c r="AH78" s="2">
        <v>0</v>
      </c>
      <c r="AI78" s="3"/>
      <c r="AJ78" s="2">
        <v>0</v>
      </c>
      <c r="AK78" s="3"/>
      <c r="AL78" s="2">
        <v>0</v>
      </c>
      <c r="AM78" s="3"/>
      <c r="AN78" s="2">
        <v>534.25</v>
      </c>
      <c r="AO78" s="3"/>
      <c r="AP78" s="2">
        <v>0</v>
      </c>
      <c r="AQ78" s="3"/>
      <c r="AR78" s="2">
        <v>0</v>
      </c>
      <c r="AS78" s="3"/>
      <c r="AT78" s="2">
        <v>8.1300000000000008</v>
      </c>
      <c r="AU78" s="3"/>
      <c r="AV78" s="2">
        <v>0</v>
      </c>
      <c r="AW78" s="3"/>
      <c r="AX78" s="2">
        <v>0</v>
      </c>
      <c r="AY78" s="3"/>
      <c r="AZ78" s="2">
        <v>-542.38</v>
      </c>
      <c r="BA78" s="3"/>
      <c r="BB78" s="2">
        <v>600</v>
      </c>
      <c r="BC78" s="3"/>
      <c r="BD78" s="2">
        <v>0</v>
      </c>
      <c r="BE78" s="3"/>
      <c r="BF78" s="2">
        <v>0</v>
      </c>
      <c r="BG78" s="3"/>
      <c r="BH78" s="2">
        <v>103.12</v>
      </c>
      <c r="BI78" s="3"/>
      <c r="BJ78" s="2">
        <v>0</v>
      </c>
      <c r="BK78" s="3"/>
      <c r="BL78" s="2">
        <v>0</v>
      </c>
      <c r="BM78" s="3"/>
      <c r="BN78" s="2">
        <v>69.06</v>
      </c>
      <c r="BO78" s="3"/>
      <c r="BP78" s="2">
        <v>0</v>
      </c>
      <c r="BQ78" s="3"/>
      <c r="BR78" s="2">
        <v>0</v>
      </c>
      <c r="BS78" s="3"/>
      <c r="BT78" s="2">
        <v>0</v>
      </c>
      <c r="BU78" s="3"/>
      <c r="BV78" s="2">
        <v>0</v>
      </c>
      <c r="BW78" s="3"/>
      <c r="BX78" s="2">
        <v>524.28</v>
      </c>
      <c r="BY78" s="3"/>
      <c r="BZ78" s="2">
        <v>606</v>
      </c>
      <c r="CA78" s="3"/>
      <c r="CB78" s="2">
        <v>15</v>
      </c>
      <c r="CC78" s="3"/>
      <c r="CD78" s="2">
        <v>-4519.6400000000003</v>
      </c>
      <c r="CE78" s="3"/>
      <c r="CF78" s="2">
        <v>0</v>
      </c>
      <c r="CG78" s="3"/>
      <c r="CH78" s="2">
        <v>0</v>
      </c>
      <c r="CI78" s="3"/>
      <c r="CJ78" s="2">
        <v>6</v>
      </c>
      <c r="CK78" s="3"/>
      <c r="CL78" s="2">
        <v>0</v>
      </c>
      <c r="CM78" s="3"/>
      <c r="CN78" s="2">
        <v>0</v>
      </c>
      <c r="CO78" s="3"/>
      <c r="CP78" s="2">
        <v>0</v>
      </c>
      <c r="CQ78" s="3"/>
      <c r="CR78" s="2">
        <v>0</v>
      </c>
      <c r="CS78" s="3"/>
      <c r="CT78" s="2">
        <v>0</v>
      </c>
      <c r="CU78" s="3"/>
      <c r="CV78" s="2">
        <v>3892.64</v>
      </c>
      <c r="CW78" s="3"/>
      <c r="CX78" s="2">
        <v>600</v>
      </c>
      <c r="CY78" s="3"/>
      <c r="CZ78" s="2">
        <v>0</v>
      </c>
      <c r="DA78" s="3"/>
      <c r="DB78" s="2">
        <v>1.5</v>
      </c>
      <c r="DC78" s="3"/>
      <c r="DD78" s="2">
        <v>0</v>
      </c>
      <c r="DE78" s="3"/>
      <c r="DF78" s="2">
        <v>0</v>
      </c>
      <c r="DG78" s="3"/>
      <c r="DH78" s="2">
        <v>0</v>
      </c>
      <c r="DI78" s="3"/>
      <c r="DJ78" s="2">
        <v>0</v>
      </c>
      <c r="DK78" s="3"/>
      <c r="DL78" s="2">
        <v>0</v>
      </c>
      <c r="DM78" s="3"/>
      <c r="DN78" s="2">
        <v>0</v>
      </c>
      <c r="DO78" s="3"/>
      <c r="DP78" s="2">
        <v>0</v>
      </c>
      <c r="DQ78" s="3"/>
      <c r="DR78" s="2">
        <v>0</v>
      </c>
      <c r="DS78" s="3"/>
      <c r="DT78" s="2">
        <v>0</v>
      </c>
      <c r="DU78" s="3"/>
      <c r="DV78" s="2">
        <v>0</v>
      </c>
      <c r="DW78" s="3"/>
      <c r="DX78" s="2">
        <v>0</v>
      </c>
      <c r="DY78" s="3"/>
      <c r="DZ78" s="2">
        <v>0</v>
      </c>
      <c r="EA78" s="3"/>
      <c r="EB78" s="2">
        <v>0</v>
      </c>
      <c r="EC78" s="3"/>
      <c r="ED78" s="2">
        <v>0</v>
      </c>
      <c r="EE78" s="3"/>
      <c r="EF78" s="2">
        <v>0</v>
      </c>
      <c r="EG78" s="3"/>
      <c r="EH78" s="2">
        <f t="shared" si="2"/>
        <v>2347.96</v>
      </c>
    </row>
    <row r="79" spans="1:138" x14ac:dyDescent="0.45">
      <c r="A79" s="1"/>
      <c r="B79" s="1"/>
      <c r="C79" s="1"/>
      <c r="D79" s="1"/>
      <c r="E79" s="1" t="s">
        <v>144</v>
      </c>
      <c r="F79" s="2">
        <v>3861.82</v>
      </c>
      <c r="G79" s="3"/>
      <c r="H79" s="2">
        <v>3652.87</v>
      </c>
      <c r="I79" s="3"/>
      <c r="J79" s="2">
        <v>-6949.14</v>
      </c>
      <c r="K79" s="3"/>
      <c r="L79" s="2">
        <v>0</v>
      </c>
      <c r="M79" s="3"/>
      <c r="N79" s="2">
        <v>0</v>
      </c>
      <c r="O79" s="3"/>
      <c r="P79" s="2">
        <v>0</v>
      </c>
      <c r="Q79" s="3"/>
      <c r="R79" s="2">
        <v>0</v>
      </c>
      <c r="S79" s="3"/>
      <c r="T79" s="2">
        <v>0</v>
      </c>
      <c r="U79" s="3"/>
      <c r="V79" s="2">
        <v>0</v>
      </c>
      <c r="W79" s="3"/>
      <c r="X79" s="2">
        <v>0</v>
      </c>
      <c r="Y79" s="3"/>
      <c r="Z79" s="2">
        <v>0</v>
      </c>
      <c r="AA79" s="3"/>
      <c r="AB79" s="2">
        <v>0</v>
      </c>
      <c r="AC79" s="3"/>
      <c r="AD79" s="2">
        <v>0</v>
      </c>
      <c r="AE79" s="3"/>
      <c r="AF79" s="2">
        <v>0</v>
      </c>
      <c r="AG79" s="3"/>
      <c r="AH79" s="2">
        <v>0</v>
      </c>
      <c r="AI79" s="3"/>
      <c r="AJ79" s="2">
        <v>4200.0200000000004</v>
      </c>
      <c r="AK79" s="3"/>
      <c r="AL79" s="2">
        <v>4579.29</v>
      </c>
      <c r="AM79" s="3"/>
      <c r="AN79" s="2">
        <v>-8779.31</v>
      </c>
      <c r="AO79" s="3"/>
      <c r="AP79" s="2">
        <v>15454.75</v>
      </c>
      <c r="AQ79" s="3"/>
      <c r="AR79" s="2">
        <v>5158.3500000000004</v>
      </c>
      <c r="AS79" s="3"/>
      <c r="AT79" s="2">
        <v>-20613.099999999999</v>
      </c>
      <c r="AU79" s="3"/>
      <c r="AV79" s="2">
        <v>25512.92</v>
      </c>
      <c r="AW79" s="3"/>
      <c r="AX79" s="2">
        <v>5873.81</v>
      </c>
      <c r="AY79" s="3"/>
      <c r="AZ79" s="2">
        <v>-31386.73</v>
      </c>
      <c r="BA79" s="3"/>
      <c r="BB79" s="2">
        <v>6587.02</v>
      </c>
      <c r="BC79" s="3"/>
      <c r="BD79" s="2">
        <v>4158.16</v>
      </c>
      <c r="BE79" s="3"/>
      <c r="BF79" s="2">
        <v>-10745.18</v>
      </c>
      <c r="BG79" s="3"/>
      <c r="BH79" s="2">
        <v>5187.96</v>
      </c>
      <c r="BI79" s="3"/>
      <c r="BJ79" s="2">
        <v>6124.92</v>
      </c>
      <c r="BK79" s="3"/>
      <c r="BL79" s="2">
        <v>-11312.88</v>
      </c>
      <c r="BM79" s="3"/>
      <c r="BN79" s="2">
        <v>0</v>
      </c>
      <c r="BO79" s="3"/>
      <c r="BP79" s="2">
        <v>5010.8100000000004</v>
      </c>
      <c r="BQ79" s="3"/>
      <c r="BR79" s="2">
        <v>5031.29</v>
      </c>
      <c r="BS79" s="3"/>
      <c r="BT79" s="2">
        <v>6030.45</v>
      </c>
      <c r="BU79" s="3"/>
      <c r="BV79" s="2">
        <v>5808.48</v>
      </c>
      <c r="BW79" s="3"/>
      <c r="BX79" s="2">
        <v>-21881.03</v>
      </c>
      <c r="BY79" s="3"/>
      <c r="BZ79" s="2">
        <v>8027.71</v>
      </c>
      <c r="CA79" s="3"/>
      <c r="CB79" s="2">
        <v>4383.26</v>
      </c>
      <c r="CC79" s="3"/>
      <c r="CD79" s="2">
        <v>4762.0600000000004</v>
      </c>
      <c r="CE79" s="3"/>
      <c r="CF79" s="2">
        <v>5296.92</v>
      </c>
      <c r="CG79" s="3"/>
      <c r="CH79" s="2">
        <v>4526.6899999999996</v>
      </c>
      <c r="CI79" s="3"/>
      <c r="CJ79" s="2">
        <v>4262.46</v>
      </c>
      <c r="CK79" s="3"/>
      <c r="CL79" s="2">
        <v>15084.1</v>
      </c>
      <c r="CM79" s="3"/>
      <c r="CN79" s="2">
        <v>4294.57</v>
      </c>
      <c r="CO79" s="3"/>
      <c r="CP79" s="2">
        <v>5113.1499999999996</v>
      </c>
      <c r="CQ79" s="3"/>
      <c r="CR79" s="2">
        <v>5356.32</v>
      </c>
      <c r="CS79" s="3"/>
      <c r="CT79" s="2">
        <v>4209.1400000000003</v>
      </c>
      <c r="CU79" s="3"/>
      <c r="CV79" s="2">
        <v>-65316.38</v>
      </c>
      <c r="CW79" s="3"/>
      <c r="CX79" s="2">
        <v>6091.38</v>
      </c>
      <c r="CY79" s="3"/>
      <c r="CZ79" s="2">
        <v>4341.16</v>
      </c>
      <c r="DA79" s="3"/>
      <c r="DB79" s="2">
        <v>4293.5</v>
      </c>
      <c r="DC79" s="3"/>
      <c r="DD79" s="2">
        <v>7596.61</v>
      </c>
      <c r="DE79" s="3"/>
      <c r="DF79" s="2">
        <v>8152.56</v>
      </c>
      <c r="DG79" s="3"/>
      <c r="DH79" s="2">
        <v>7899.85</v>
      </c>
      <c r="DI79" s="3"/>
      <c r="DJ79" s="2">
        <v>22120.76</v>
      </c>
      <c r="DK79" s="3"/>
      <c r="DL79" s="2">
        <v>8766.09</v>
      </c>
      <c r="DM79" s="3"/>
      <c r="DN79" s="2">
        <v>11863.93</v>
      </c>
      <c r="DO79" s="3"/>
      <c r="DP79" s="2">
        <v>7988.44</v>
      </c>
      <c r="DQ79" s="3"/>
      <c r="DR79" s="2">
        <v>8776</v>
      </c>
      <c r="DS79" s="3"/>
      <c r="DT79" s="2">
        <v>-97890.28</v>
      </c>
      <c r="DU79" s="3"/>
      <c r="DV79" s="2">
        <v>8542.59</v>
      </c>
      <c r="DW79" s="3"/>
      <c r="DX79" s="2">
        <v>7105.25</v>
      </c>
      <c r="DY79" s="3"/>
      <c r="DZ79" s="2">
        <v>11170.56</v>
      </c>
      <c r="EA79" s="3"/>
      <c r="EB79" s="2">
        <v>9029.8799999999992</v>
      </c>
      <c r="EC79" s="3"/>
      <c r="ED79" s="2">
        <v>9031.0499999999993</v>
      </c>
      <c r="EE79" s="3"/>
      <c r="EF79" s="2">
        <v>11730.92</v>
      </c>
      <c r="EG79" s="3"/>
      <c r="EH79" s="2">
        <f t="shared" si="2"/>
        <v>57175.8</v>
      </c>
    </row>
    <row r="80" spans="1:138" x14ac:dyDescent="0.45">
      <c r="A80" s="1"/>
      <c r="B80" s="1"/>
      <c r="C80" s="1"/>
      <c r="D80" s="1"/>
      <c r="E80" s="1" t="s">
        <v>145</v>
      </c>
      <c r="F80" s="2">
        <v>0</v>
      </c>
      <c r="G80" s="3"/>
      <c r="H80" s="2">
        <v>0</v>
      </c>
      <c r="I80" s="3"/>
      <c r="J80" s="2">
        <v>0</v>
      </c>
      <c r="K80" s="3"/>
      <c r="L80" s="2">
        <v>0</v>
      </c>
      <c r="M80" s="3"/>
      <c r="N80" s="2">
        <v>0</v>
      </c>
      <c r="O80" s="3"/>
      <c r="P80" s="2">
        <v>0</v>
      </c>
      <c r="Q80" s="3"/>
      <c r="R80" s="2">
        <v>0</v>
      </c>
      <c r="S80" s="3"/>
      <c r="T80" s="2">
        <v>0</v>
      </c>
      <c r="U80" s="3"/>
      <c r="V80" s="2">
        <v>0</v>
      </c>
      <c r="W80" s="3"/>
      <c r="X80" s="2">
        <v>0</v>
      </c>
      <c r="Y80" s="3"/>
      <c r="Z80" s="2">
        <v>0</v>
      </c>
      <c r="AA80" s="3"/>
      <c r="AB80" s="2">
        <v>0</v>
      </c>
      <c r="AC80" s="3"/>
      <c r="AD80" s="2">
        <v>0</v>
      </c>
      <c r="AE80" s="3"/>
      <c r="AF80" s="2">
        <v>0</v>
      </c>
      <c r="AG80" s="3"/>
      <c r="AH80" s="2">
        <v>0</v>
      </c>
      <c r="AI80" s="3"/>
      <c r="AJ80" s="2">
        <v>111.66</v>
      </c>
      <c r="AK80" s="3"/>
      <c r="AL80" s="2">
        <v>8640.85</v>
      </c>
      <c r="AM80" s="3"/>
      <c r="AN80" s="2">
        <v>0</v>
      </c>
      <c r="AO80" s="3"/>
      <c r="AP80" s="2">
        <v>0</v>
      </c>
      <c r="AQ80" s="3"/>
      <c r="AR80" s="2">
        <v>2390.2199999999998</v>
      </c>
      <c r="AS80" s="3"/>
      <c r="AT80" s="2">
        <v>910.15</v>
      </c>
      <c r="AU80" s="3"/>
      <c r="AV80" s="2">
        <v>0</v>
      </c>
      <c r="AW80" s="3"/>
      <c r="AX80" s="2">
        <v>0</v>
      </c>
      <c r="AY80" s="3"/>
      <c r="AZ80" s="2">
        <v>-12052.88</v>
      </c>
      <c r="BA80" s="3"/>
      <c r="BB80" s="2">
        <v>0</v>
      </c>
      <c r="BC80" s="3"/>
      <c r="BD80" s="2">
        <v>1.29</v>
      </c>
      <c r="BE80" s="3"/>
      <c r="BF80" s="2">
        <v>0</v>
      </c>
      <c r="BG80" s="3"/>
      <c r="BH80" s="2">
        <v>0</v>
      </c>
      <c r="BI80" s="3"/>
      <c r="BJ80" s="2">
        <v>0</v>
      </c>
      <c r="BK80" s="3"/>
      <c r="BL80" s="2">
        <v>0</v>
      </c>
      <c r="BM80" s="3"/>
      <c r="BN80" s="2">
        <v>0</v>
      </c>
      <c r="BO80" s="3"/>
      <c r="BP80" s="2">
        <v>0</v>
      </c>
      <c r="BQ80" s="3"/>
      <c r="BR80" s="2">
        <v>0</v>
      </c>
      <c r="BS80" s="3"/>
      <c r="BT80" s="2">
        <v>0</v>
      </c>
      <c r="BU80" s="3"/>
      <c r="BV80" s="2">
        <v>0</v>
      </c>
      <c r="BW80" s="3"/>
      <c r="BX80" s="2">
        <v>-1.29</v>
      </c>
      <c r="BY80" s="3"/>
      <c r="BZ80" s="2">
        <v>0</v>
      </c>
      <c r="CA80" s="3"/>
      <c r="CB80" s="2">
        <v>0</v>
      </c>
      <c r="CC80" s="3"/>
      <c r="CD80" s="2">
        <v>0</v>
      </c>
      <c r="CE80" s="3"/>
      <c r="CF80" s="2">
        <v>0</v>
      </c>
      <c r="CG80" s="3"/>
      <c r="CH80" s="2">
        <v>0</v>
      </c>
      <c r="CI80" s="3"/>
      <c r="CJ80" s="2">
        <v>0</v>
      </c>
      <c r="CK80" s="3"/>
      <c r="CL80" s="2">
        <v>0</v>
      </c>
      <c r="CM80" s="3"/>
      <c r="CN80" s="2">
        <v>10.99</v>
      </c>
      <c r="CO80" s="3"/>
      <c r="CP80" s="2">
        <v>0</v>
      </c>
      <c r="CQ80" s="3"/>
      <c r="CR80" s="2">
        <v>0</v>
      </c>
      <c r="CS80" s="3"/>
      <c r="CT80" s="2">
        <v>-99</v>
      </c>
      <c r="CU80" s="3"/>
      <c r="CV80" s="2">
        <v>88.01</v>
      </c>
      <c r="CW80" s="3"/>
      <c r="CX80" s="2">
        <v>25.81</v>
      </c>
      <c r="CY80" s="3"/>
      <c r="CZ80" s="2">
        <v>0</v>
      </c>
      <c r="DA80" s="3"/>
      <c r="DB80" s="2">
        <v>0</v>
      </c>
      <c r="DC80" s="3"/>
      <c r="DD80" s="2">
        <v>1604.41</v>
      </c>
      <c r="DE80" s="3"/>
      <c r="DF80" s="2">
        <v>-1809.29</v>
      </c>
      <c r="DG80" s="3"/>
      <c r="DH80" s="2">
        <v>2253.7800000000002</v>
      </c>
      <c r="DI80" s="3"/>
      <c r="DJ80" s="2">
        <v>0</v>
      </c>
      <c r="DK80" s="3"/>
      <c r="DL80" s="2">
        <v>0</v>
      </c>
      <c r="DM80" s="3"/>
      <c r="DN80" s="2">
        <v>0</v>
      </c>
      <c r="DO80" s="3"/>
      <c r="DP80" s="2">
        <v>0</v>
      </c>
      <c r="DQ80" s="3"/>
      <c r="DR80" s="2">
        <v>0</v>
      </c>
      <c r="DS80" s="3"/>
      <c r="DT80" s="2">
        <v>0</v>
      </c>
      <c r="DU80" s="3"/>
      <c r="DV80" s="2">
        <v>0</v>
      </c>
      <c r="DW80" s="3"/>
      <c r="DX80" s="2">
        <v>0</v>
      </c>
      <c r="DY80" s="3"/>
      <c r="DZ80" s="2">
        <v>-3047.7</v>
      </c>
      <c r="EA80" s="3"/>
      <c r="EB80" s="2">
        <v>0</v>
      </c>
      <c r="EC80" s="3"/>
      <c r="ED80" s="2">
        <v>0</v>
      </c>
      <c r="EE80" s="3"/>
      <c r="EF80" s="2">
        <v>0</v>
      </c>
      <c r="EG80" s="3"/>
      <c r="EH80" s="2">
        <f t="shared" si="2"/>
        <v>-972.99</v>
      </c>
    </row>
    <row r="81" spans="1:138" ht="14.65" thickBot="1" x14ac:dyDescent="0.5">
      <c r="A81" s="1"/>
      <c r="B81" s="1"/>
      <c r="C81" s="1"/>
      <c r="D81" s="1"/>
      <c r="E81" s="1" t="s">
        <v>146</v>
      </c>
      <c r="F81" s="2">
        <v>0</v>
      </c>
      <c r="G81" s="3"/>
      <c r="H81" s="2">
        <v>0</v>
      </c>
      <c r="I81" s="3"/>
      <c r="J81" s="2">
        <v>0</v>
      </c>
      <c r="K81" s="3"/>
      <c r="L81" s="2">
        <v>0</v>
      </c>
      <c r="M81" s="3"/>
      <c r="N81" s="2">
        <v>0</v>
      </c>
      <c r="O81" s="3"/>
      <c r="P81" s="2">
        <v>0</v>
      </c>
      <c r="Q81" s="3"/>
      <c r="R81" s="2">
        <v>0</v>
      </c>
      <c r="S81" s="3"/>
      <c r="T81" s="2">
        <v>0</v>
      </c>
      <c r="U81" s="3"/>
      <c r="V81" s="2">
        <v>0</v>
      </c>
      <c r="W81" s="3"/>
      <c r="X81" s="2">
        <v>0</v>
      </c>
      <c r="Y81" s="3"/>
      <c r="Z81" s="2">
        <v>0</v>
      </c>
      <c r="AA81" s="3"/>
      <c r="AB81" s="2">
        <v>0</v>
      </c>
      <c r="AC81" s="3"/>
      <c r="AD81" s="2">
        <v>0</v>
      </c>
      <c r="AE81" s="3"/>
      <c r="AF81" s="2">
        <v>0</v>
      </c>
      <c r="AG81" s="3"/>
      <c r="AH81" s="2">
        <v>0</v>
      </c>
      <c r="AI81" s="3"/>
      <c r="AJ81" s="2">
        <v>0</v>
      </c>
      <c r="AK81" s="3"/>
      <c r="AL81" s="2">
        <v>0</v>
      </c>
      <c r="AM81" s="3"/>
      <c r="AN81" s="2">
        <v>0</v>
      </c>
      <c r="AO81" s="3"/>
      <c r="AP81" s="2">
        <v>0</v>
      </c>
      <c r="AQ81" s="3"/>
      <c r="AR81" s="2">
        <v>0</v>
      </c>
      <c r="AS81" s="3"/>
      <c r="AT81" s="2">
        <v>0</v>
      </c>
      <c r="AU81" s="3"/>
      <c r="AV81" s="2">
        <v>0</v>
      </c>
      <c r="AW81" s="3"/>
      <c r="AX81" s="2">
        <v>0</v>
      </c>
      <c r="AY81" s="3"/>
      <c r="AZ81" s="2">
        <v>2297</v>
      </c>
      <c r="BA81" s="3"/>
      <c r="BB81" s="2">
        <v>0</v>
      </c>
      <c r="BC81" s="3"/>
      <c r="BD81" s="2">
        <v>0</v>
      </c>
      <c r="BE81" s="3"/>
      <c r="BF81" s="2">
        <v>2066</v>
      </c>
      <c r="BG81" s="3"/>
      <c r="BH81" s="2">
        <v>580</v>
      </c>
      <c r="BI81" s="3"/>
      <c r="BJ81" s="2">
        <v>0</v>
      </c>
      <c r="BK81" s="3"/>
      <c r="BL81" s="2">
        <v>580</v>
      </c>
      <c r="BM81" s="3"/>
      <c r="BN81" s="2">
        <v>0</v>
      </c>
      <c r="BO81" s="3"/>
      <c r="BP81" s="2">
        <v>0</v>
      </c>
      <c r="BQ81" s="3"/>
      <c r="BR81" s="2">
        <v>0</v>
      </c>
      <c r="BS81" s="3"/>
      <c r="BT81" s="2">
        <v>0</v>
      </c>
      <c r="BU81" s="3"/>
      <c r="BV81" s="2">
        <v>0</v>
      </c>
      <c r="BW81" s="3"/>
      <c r="BX81" s="2">
        <v>-650</v>
      </c>
      <c r="BY81" s="3"/>
      <c r="BZ81" s="2">
        <v>0</v>
      </c>
      <c r="CA81" s="3"/>
      <c r="CB81" s="2">
        <v>0</v>
      </c>
      <c r="CC81" s="3"/>
      <c r="CD81" s="2">
        <v>3750</v>
      </c>
      <c r="CE81" s="3"/>
      <c r="CF81" s="2">
        <v>605</v>
      </c>
      <c r="CG81" s="3"/>
      <c r="CH81" s="2">
        <v>0</v>
      </c>
      <c r="CI81" s="3"/>
      <c r="CJ81" s="2">
        <v>3556.69</v>
      </c>
      <c r="CK81" s="3"/>
      <c r="CL81" s="2">
        <v>0</v>
      </c>
      <c r="CM81" s="3"/>
      <c r="CN81" s="2">
        <v>0</v>
      </c>
      <c r="CO81" s="3"/>
      <c r="CP81" s="2">
        <v>3480</v>
      </c>
      <c r="CQ81" s="3"/>
      <c r="CR81" s="2">
        <v>0</v>
      </c>
      <c r="CS81" s="3"/>
      <c r="CT81" s="2">
        <v>0</v>
      </c>
      <c r="CU81" s="3"/>
      <c r="CV81" s="2">
        <v>-7641.69</v>
      </c>
      <c r="CW81" s="3"/>
      <c r="CX81" s="2">
        <v>0</v>
      </c>
      <c r="CY81" s="3"/>
      <c r="CZ81" s="2">
        <v>0</v>
      </c>
      <c r="DA81" s="3"/>
      <c r="DB81" s="2">
        <v>-46.8</v>
      </c>
      <c r="DC81" s="3"/>
      <c r="DD81" s="2">
        <v>0</v>
      </c>
      <c r="DE81" s="3"/>
      <c r="DF81" s="2">
        <v>0</v>
      </c>
      <c r="DG81" s="3"/>
      <c r="DH81" s="2">
        <v>0</v>
      </c>
      <c r="DI81" s="3"/>
      <c r="DJ81" s="2">
        <v>1167</v>
      </c>
      <c r="DK81" s="3"/>
      <c r="DL81" s="2">
        <v>0</v>
      </c>
      <c r="DM81" s="3"/>
      <c r="DN81" s="2">
        <v>-1142.93</v>
      </c>
      <c r="DO81" s="3"/>
      <c r="DP81" s="2">
        <v>0</v>
      </c>
      <c r="DQ81" s="3"/>
      <c r="DR81" s="2">
        <v>22.73</v>
      </c>
      <c r="DS81" s="3"/>
      <c r="DT81" s="2">
        <v>-1105</v>
      </c>
      <c r="DU81" s="3"/>
      <c r="DV81" s="2">
        <v>0</v>
      </c>
      <c r="DW81" s="3"/>
      <c r="DX81" s="2">
        <v>15</v>
      </c>
      <c r="DY81" s="3"/>
      <c r="DZ81" s="2">
        <v>152</v>
      </c>
      <c r="EA81" s="3"/>
      <c r="EB81" s="2">
        <v>80</v>
      </c>
      <c r="EC81" s="3"/>
      <c r="ED81" s="2">
        <v>238</v>
      </c>
      <c r="EE81" s="3"/>
      <c r="EF81" s="2">
        <v>58</v>
      </c>
      <c r="EG81" s="3"/>
      <c r="EH81" s="2">
        <f t="shared" si="2"/>
        <v>8061</v>
      </c>
    </row>
    <row r="82" spans="1:138" ht="14.65" thickBot="1" x14ac:dyDescent="0.5">
      <c r="A82" s="1"/>
      <c r="B82" s="1"/>
      <c r="C82" s="1"/>
      <c r="D82" s="1" t="s">
        <v>147</v>
      </c>
      <c r="E82" s="1"/>
      <c r="F82" s="5">
        <f>ROUND(SUM(F46:F81),5)</f>
        <v>28762.42</v>
      </c>
      <c r="G82" s="3"/>
      <c r="H82" s="5">
        <f>ROUND(SUM(H46:H81),5)</f>
        <v>36134.89</v>
      </c>
      <c r="I82" s="3"/>
      <c r="J82" s="5">
        <f>ROUND(SUM(J46:J81),5)</f>
        <v>38204.46</v>
      </c>
      <c r="K82" s="3"/>
      <c r="L82" s="5">
        <f>ROUND(SUM(L46:L81),5)</f>
        <v>52893.65</v>
      </c>
      <c r="M82" s="3"/>
      <c r="N82" s="5">
        <f>ROUND(SUM(N46:N81),5)</f>
        <v>50216.77</v>
      </c>
      <c r="O82" s="3"/>
      <c r="P82" s="5">
        <f>ROUND(SUM(P46:P81),5)</f>
        <v>53512.86</v>
      </c>
      <c r="Q82" s="3"/>
      <c r="R82" s="5">
        <f>ROUND(SUM(R46:R81),5)</f>
        <v>53288.959999999999</v>
      </c>
      <c r="S82" s="3"/>
      <c r="T82" s="5">
        <f>ROUND(SUM(T46:T81),5)</f>
        <v>56417.42</v>
      </c>
      <c r="U82" s="3"/>
      <c r="V82" s="5">
        <f>ROUND(SUM(V46:V81),5)</f>
        <v>48999.71</v>
      </c>
      <c r="W82" s="3"/>
      <c r="X82" s="5">
        <f>ROUND(SUM(X46:X81),5)</f>
        <v>57363.66</v>
      </c>
      <c r="Y82" s="3"/>
      <c r="Z82" s="5">
        <f>ROUND(SUM(Z46:Z81),5)</f>
        <v>73511.13</v>
      </c>
      <c r="AA82" s="3"/>
      <c r="AB82" s="5">
        <f>ROUND(SUM(AB46:AB81),5)</f>
        <v>83556.539999999994</v>
      </c>
      <c r="AC82" s="3"/>
      <c r="AD82" s="5">
        <f>ROUND(SUM(AD46:AD81),5)</f>
        <v>73627.42</v>
      </c>
      <c r="AE82" s="3"/>
      <c r="AF82" s="5">
        <f>ROUND(SUM(AF46:AF81),5)</f>
        <v>54932.82</v>
      </c>
      <c r="AG82" s="3"/>
      <c r="AH82" s="5">
        <f>ROUND(SUM(AH46:AH81),5)</f>
        <v>72184.05</v>
      </c>
      <c r="AI82" s="3"/>
      <c r="AJ82" s="5">
        <f>ROUND(SUM(AJ46:AJ81),5)</f>
        <v>46072.73</v>
      </c>
      <c r="AK82" s="3"/>
      <c r="AL82" s="5">
        <f>ROUND(SUM(AL46:AL81),5)</f>
        <v>53718.85</v>
      </c>
      <c r="AM82" s="3"/>
      <c r="AN82" s="5">
        <f>ROUND(SUM(AN46:AN81),5)</f>
        <v>155416.43</v>
      </c>
      <c r="AO82" s="3"/>
      <c r="AP82" s="5">
        <f>ROUND(SUM(AP46:AP81),5)</f>
        <v>57585.61</v>
      </c>
      <c r="AQ82" s="3"/>
      <c r="AR82" s="5">
        <f>ROUND(SUM(AR46:AR81),5)</f>
        <v>50049.85</v>
      </c>
      <c r="AS82" s="3"/>
      <c r="AT82" s="5">
        <f>ROUND(SUM(AT46:AT81),5)</f>
        <v>44173.59</v>
      </c>
      <c r="AU82" s="3"/>
      <c r="AV82" s="5">
        <f>ROUND(SUM(AV46:AV81),5)</f>
        <v>61549.760000000002</v>
      </c>
      <c r="AW82" s="3"/>
      <c r="AX82" s="5">
        <f>ROUND(SUM(AX46:AX81),5)</f>
        <v>52150.06</v>
      </c>
      <c r="AY82" s="3"/>
      <c r="AZ82" s="5">
        <f>ROUND(SUM(AZ46:AZ81),5)</f>
        <v>78080.77</v>
      </c>
      <c r="BA82" s="3"/>
      <c r="BB82" s="5">
        <f>ROUND(SUM(BB46:BB81),5)</f>
        <v>41091.629999999997</v>
      </c>
      <c r="BC82" s="3"/>
      <c r="BD82" s="5">
        <f>ROUND(SUM(BD46:BD81),5)</f>
        <v>52305.79</v>
      </c>
      <c r="BE82" s="3"/>
      <c r="BF82" s="5">
        <f>ROUND(SUM(BF46:BF81),5)</f>
        <v>83900.63</v>
      </c>
      <c r="BG82" s="3"/>
      <c r="BH82" s="5">
        <f>ROUND(SUM(BH46:BH81),5)</f>
        <v>42857.760000000002</v>
      </c>
      <c r="BI82" s="3"/>
      <c r="BJ82" s="5">
        <f>ROUND(SUM(BJ46:BJ81),5)</f>
        <v>49955.76</v>
      </c>
      <c r="BK82" s="3"/>
      <c r="BL82" s="5">
        <f>ROUND(SUM(BL46:BL81),5)</f>
        <v>77655.48</v>
      </c>
      <c r="BM82" s="3"/>
      <c r="BN82" s="5">
        <f>ROUND(SUM(BN46:BN81),5)</f>
        <v>52789.53</v>
      </c>
      <c r="BO82" s="3"/>
      <c r="BP82" s="5">
        <f>ROUND(SUM(BP46:BP81),5)</f>
        <v>73499.22</v>
      </c>
      <c r="BQ82" s="3"/>
      <c r="BR82" s="5">
        <f>ROUND(SUM(BR46:BR81),5)</f>
        <v>44316.21</v>
      </c>
      <c r="BS82" s="3"/>
      <c r="BT82" s="5">
        <f>ROUND(SUM(BT46:BT81),5)</f>
        <v>52071.76</v>
      </c>
      <c r="BU82" s="3"/>
      <c r="BV82" s="5">
        <f>ROUND(SUM(BV46:BV81),5)</f>
        <v>39211.64</v>
      </c>
      <c r="BW82" s="3"/>
      <c r="BX82" s="5">
        <f>ROUND(SUM(BX46:BX81),5)</f>
        <v>128896</v>
      </c>
      <c r="BY82" s="3"/>
      <c r="BZ82" s="5">
        <f>ROUND(SUM(BZ46:BZ81),5)</f>
        <v>64290.01</v>
      </c>
      <c r="CA82" s="3"/>
      <c r="CB82" s="5">
        <f>ROUND(SUM(CB46:CB81),5)</f>
        <v>45960.86</v>
      </c>
      <c r="CC82" s="3"/>
      <c r="CD82" s="5">
        <f>ROUND(SUM(CD46:CD81),5)</f>
        <v>44974.6</v>
      </c>
      <c r="CE82" s="3"/>
      <c r="CF82" s="5">
        <f>ROUND(SUM(CF46:CF81),5)</f>
        <v>47849.34</v>
      </c>
      <c r="CG82" s="3"/>
      <c r="CH82" s="5">
        <f>ROUND(SUM(CH46:CH81),5)</f>
        <v>45447.42</v>
      </c>
      <c r="CI82" s="3"/>
      <c r="CJ82" s="5">
        <f>ROUND(SUM(CJ46:CJ81),5)</f>
        <v>37225.68</v>
      </c>
      <c r="CK82" s="3"/>
      <c r="CL82" s="5">
        <f>ROUND(SUM(CL46:CL81),5)</f>
        <v>60005.47</v>
      </c>
      <c r="CM82" s="3"/>
      <c r="CN82" s="5">
        <f>ROUND(SUM(CN46:CN81),5)</f>
        <v>51356.9</v>
      </c>
      <c r="CO82" s="3"/>
      <c r="CP82" s="5">
        <f>ROUND(SUM(CP46:CP81),5)</f>
        <v>39813.300000000003</v>
      </c>
      <c r="CQ82" s="3"/>
      <c r="CR82" s="5">
        <f>ROUND(SUM(CR46:CR81),5)</f>
        <v>48430.879999999997</v>
      </c>
      <c r="CS82" s="3"/>
      <c r="CT82" s="5">
        <f>ROUND(SUM(CT46:CT81),5)</f>
        <v>44099.24</v>
      </c>
      <c r="CU82" s="3"/>
      <c r="CV82" s="5">
        <f>ROUND(SUM(CV46:CV81),5)</f>
        <v>194965.93</v>
      </c>
      <c r="CW82" s="3"/>
      <c r="CX82" s="5">
        <f>ROUND(SUM(CX46:CX81),5)</f>
        <v>40135.800000000003</v>
      </c>
      <c r="CY82" s="3"/>
      <c r="CZ82" s="5">
        <f>ROUND(SUM(CZ46:CZ81),5)</f>
        <v>41764.83</v>
      </c>
      <c r="DA82" s="3"/>
      <c r="DB82" s="5">
        <f>ROUND(SUM(DB46:DB81),5)</f>
        <v>45112.33</v>
      </c>
      <c r="DC82" s="3"/>
      <c r="DD82" s="5">
        <f>ROUND(SUM(DD46:DD81),5)</f>
        <v>74709.59</v>
      </c>
      <c r="DE82" s="3"/>
      <c r="DF82" s="5">
        <f>ROUND(SUM(DF46:DF81),5)</f>
        <v>45604.87</v>
      </c>
      <c r="DG82" s="3"/>
      <c r="DH82" s="5">
        <f>ROUND(SUM(DH46:DH81),5)</f>
        <v>47101.08</v>
      </c>
      <c r="DI82" s="3"/>
      <c r="DJ82" s="5">
        <f>ROUND(SUM(DJ46:DJ81),5)</f>
        <v>72590.880000000005</v>
      </c>
      <c r="DK82" s="3"/>
      <c r="DL82" s="5">
        <f>ROUND(SUM(DL46:DL81),5)</f>
        <v>51318.559999999998</v>
      </c>
      <c r="DM82" s="3"/>
      <c r="DN82" s="5">
        <f>ROUND(SUM(DN46:DN81),5)</f>
        <v>52399.38</v>
      </c>
      <c r="DO82" s="3"/>
      <c r="DP82" s="5">
        <f>ROUND(SUM(DP46:DP81),5)</f>
        <v>39193.72</v>
      </c>
      <c r="DQ82" s="3"/>
      <c r="DR82" s="5">
        <f>ROUND(SUM(DR46:DR81),5)</f>
        <v>28574.31</v>
      </c>
      <c r="DS82" s="3"/>
      <c r="DT82" s="5">
        <f>ROUND(SUM(DT46:DT81),5)</f>
        <v>164447.85</v>
      </c>
      <c r="DU82" s="3"/>
      <c r="DV82" s="5">
        <f>ROUND(SUM(DV46:DV81),5)</f>
        <v>50962.84</v>
      </c>
      <c r="DW82" s="3"/>
      <c r="DX82" s="5">
        <f>ROUND(SUM(DX46:DX81),5)</f>
        <v>64066.23</v>
      </c>
      <c r="DY82" s="3"/>
      <c r="DZ82" s="5">
        <f>ROUND(SUM(DZ46:DZ81),5)</f>
        <v>55122.34</v>
      </c>
      <c r="EA82" s="3"/>
      <c r="EB82" s="5">
        <f>ROUND(SUM(EB46:EB81),5)</f>
        <v>45908.22</v>
      </c>
      <c r="EC82" s="3"/>
      <c r="ED82" s="5">
        <f>ROUND(SUM(ED46:ED81),5)</f>
        <v>47542.32</v>
      </c>
      <c r="EE82" s="3"/>
      <c r="EF82" s="5">
        <f>ROUND(SUM(EF46:EF81),5)</f>
        <v>53484.91</v>
      </c>
      <c r="EG82" s="3"/>
      <c r="EH82" s="5">
        <f t="shared" si="2"/>
        <v>3915415.51</v>
      </c>
    </row>
    <row r="83" spans="1:138" x14ac:dyDescent="0.45">
      <c r="A83" s="1"/>
      <c r="B83" s="1" t="s">
        <v>148</v>
      </c>
      <c r="C83" s="1"/>
      <c r="D83" s="1"/>
      <c r="E83" s="1"/>
      <c r="F83" s="2">
        <f>ROUND(F2+F45-F82,5)</f>
        <v>23919.53</v>
      </c>
      <c r="G83" s="3"/>
      <c r="H83" s="2">
        <f>ROUND(H2+H45-H82,5)</f>
        <v>-45205.05</v>
      </c>
      <c r="I83" s="3"/>
      <c r="J83" s="2">
        <f>ROUND(J2+J45-J82,5)</f>
        <v>-21817.31</v>
      </c>
      <c r="K83" s="3"/>
      <c r="L83" s="2">
        <f>ROUND(L2+L45-L82,5)</f>
        <v>9782.7999999999993</v>
      </c>
      <c r="M83" s="3"/>
      <c r="N83" s="2">
        <f>ROUND(N2+N45-N82,5)</f>
        <v>12161.57</v>
      </c>
      <c r="O83" s="3"/>
      <c r="P83" s="2">
        <f>ROUND(P2+P45-P82,5)</f>
        <v>5142.4799999999996</v>
      </c>
      <c r="Q83" s="3"/>
      <c r="R83" s="2">
        <f>ROUND(R2+R45-R82,5)</f>
        <v>-7224.44</v>
      </c>
      <c r="S83" s="3"/>
      <c r="T83" s="2">
        <f>ROUND(T2+T45-T82,5)</f>
        <v>30799.17</v>
      </c>
      <c r="U83" s="3"/>
      <c r="V83" s="2">
        <f>ROUND(V2+V45-V82,5)</f>
        <v>15210.99</v>
      </c>
      <c r="W83" s="3"/>
      <c r="X83" s="2">
        <f>ROUND(X2+X45-X82,5)</f>
        <v>6055.58</v>
      </c>
      <c r="Y83" s="3"/>
      <c r="Z83" s="2">
        <f>ROUND(Z2+Z45-Z82,5)</f>
        <v>-60113.2</v>
      </c>
      <c r="AA83" s="3"/>
      <c r="AB83" s="2">
        <f>ROUND(AB2+AB45-AB82,5)</f>
        <v>-62365.21</v>
      </c>
      <c r="AC83" s="3"/>
      <c r="AD83" s="2">
        <f>ROUND(AD2+AD45-AD82,5)</f>
        <v>-58722.37</v>
      </c>
      <c r="AE83" s="3"/>
      <c r="AF83" s="2">
        <f>ROUND(AF2+AF45-AF82,5)</f>
        <v>81588.78</v>
      </c>
      <c r="AG83" s="3"/>
      <c r="AH83" s="2">
        <f>ROUND(AH2+AH45-AH82,5)</f>
        <v>7767.19</v>
      </c>
      <c r="AI83" s="3"/>
      <c r="AJ83" s="2">
        <f>ROUND(AJ2+AJ45-AJ82,5)</f>
        <v>97572.7</v>
      </c>
      <c r="AK83" s="3"/>
      <c r="AL83" s="2">
        <f>ROUND(AL2+AL45-AL82,5)</f>
        <v>8410.5400000000009</v>
      </c>
      <c r="AM83" s="3"/>
      <c r="AN83" s="2">
        <f>ROUND(AN2+AN45-AN82,5)</f>
        <v>67281.509999999995</v>
      </c>
      <c r="AO83" s="3"/>
      <c r="AP83" s="2">
        <f>ROUND(AP2+AP45-AP82,5)</f>
        <v>17457.7</v>
      </c>
      <c r="AQ83" s="3"/>
      <c r="AR83" s="2">
        <f>ROUND(AR2+AR45-AR82,5)</f>
        <v>81354.990000000005</v>
      </c>
      <c r="AS83" s="3"/>
      <c r="AT83" s="2">
        <f>ROUND(AT2+AT45-AT82,5)</f>
        <v>-21424.7</v>
      </c>
      <c r="AU83" s="3"/>
      <c r="AV83" s="2">
        <f>ROUND(AV2+AV45-AV82,5)</f>
        <v>-34471.629999999997</v>
      </c>
      <c r="AW83" s="3"/>
      <c r="AX83" s="2">
        <f>ROUND(AX2+AX45-AX82,5)</f>
        <v>12860.73</v>
      </c>
      <c r="AY83" s="3"/>
      <c r="AZ83" s="2">
        <f>ROUND(AZ2+AZ45-AZ82,5)</f>
        <v>-44196.08</v>
      </c>
      <c r="BA83" s="3"/>
      <c r="BB83" s="2">
        <f>ROUND(BB2+BB45-BB82,5)</f>
        <v>179422.71</v>
      </c>
      <c r="BC83" s="3"/>
      <c r="BD83" s="2">
        <f>ROUND(BD2+BD45-BD82,5)</f>
        <v>41378.92</v>
      </c>
      <c r="BE83" s="3"/>
      <c r="BF83" s="2">
        <f>ROUND(BF2+BF45-BF82,5)</f>
        <v>-280717.78000000003</v>
      </c>
      <c r="BG83" s="3"/>
      <c r="BH83" s="2">
        <f>ROUND(BH2+BH45-BH82,5)</f>
        <v>81635.240000000005</v>
      </c>
      <c r="BI83" s="3"/>
      <c r="BJ83" s="2">
        <f>ROUND(BJ2+BJ45-BJ82,5)</f>
        <v>6852.51</v>
      </c>
      <c r="BK83" s="3"/>
      <c r="BL83" s="2">
        <f>ROUND(BL2+BL45-BL82,5)</f>
        <v>13491.23</v>
      </c>
      <c r="BM83" s="3"/>
      <c r="BN83" s="2">
        <f>ROUND(BN2+BN45-BN82,5)</f>
        <v>-145639.38</v>
      </c>
      <c r="BO83" s="3"/>
      <c r="BP83" s="2">
        <f>ROUND(BP2+BP45-BP82,5)</f>
        <v>-25647.18</v>
      </c>
      <c r="BQ83" s="3"/>
      <c r="BR83" s="2">
        <f>ROUND(BR2+BR45-BR82,5)</f>
        <v>30859.7</v>
      </c>
      <c r="BS83" s="3"/>
      <c r="BT83" s="2">
        <f>ROUND(BT2+BT45-BT82,5)</f>
        <v>4215.34</v>
      </c>
      <c r="BU83" s="3"/>
      <c r="BV83" s="2">
        <f>ROUND(BV2+BV45-BV82,5)</f>
        <v>12002.89</v>
      </c>
      <c r="BW83" s="3"/>
      <c r="BX83" s="2">
        <f>ROUND(BX2+BX45-BX82,5)</f>
        <v>305144.28999999998</v>
      </c>
      <c r="BY83" s="3"/>
      <c r="BZ83" s="2">
        <f>ROUND(BZ2+BZ45-BZ82,5)</f>
        <v>-41308.83</v>
      </c>
      <c r="CA83" s="3"/>
      <c r="CB83" s="2">
        <f>ROUND(CB2+CB45-CB82,5)</f>
        <v>33417.31</v>
      </c>
      <c r="CC83" s="3"/>
      <c r="CD83" s="2">
        <f>ROUND(CD2+CD45-CD82,5)</f>
        <v>-3097.47</v>
      </c>
      <c r="CE83" s="3"/>
      <c r="CF83" s="2">
        <f>ROUND(CF2+CF45-CF82,5)</f>
        <v>-26806.11</v>
      </c>
      <c r="CG83" s="3"/>
      <c r="CH83" s="2">
        <f>ROUND(CH2+CH45-CH82,5)</f>
        <v>-4708.4799999999996</v>
      </c>
      <c r="CI83" s="3"/>
      <c r="CJ83" s="2">
        <f>ROUND(CJ2+CJ45-CJ82,5)</f>
        <v>3962.62</v>
      </c>
      <c r="CK83" s="3"/>
      <c r="CL83" s="2">
        <f>ROUND(CL2+CL45-CL82,5)</f>
        <v>12882.01</v>
      </c>
      <c r="CM83" s="3"/>
      <c r="CN83" s="2">
        <f>ROUND(CN2+CN45-CN82,5)</f>
        <v>33967.839999999997</v>
      </c>
      <c r="CO83" s="3"/>
      <c r="CP83" s="2">
        <f>ROUND(CP2+CP45-CP82,5)</f>
        <v>19492.28</v>
      </c>
      <c r="CQ83" s="3"/>
      <c r="CR83" s="2">
        <f>ROUND(CR2+CR45-CR82,5)</f>
        <v>-4664.54</v>
      </c>
      <c r="CS83" s="3"/>
      <c r="CT83" s="2">
        <f>ROUND(CT2+CT45-CT82,5)</f>
        <v>18958.87</v>
      </c>
      <c r="CU83" s="3"/>
      <c r="CV83" s="2">
        <f>ROUND(CV2+CV45-CV82,5)</f>
        <v>-57235.55</v>
      </c>
      <c r="CW83" s="3"/>
      <c r="CX83" s="2">
        <f>ROUND(CX2+CX45-CX82,5)</f>
        <v>8840.43</v>
      </c>
      <c r="CY83" s="3"/>
      <c r="CZ83" s="2">
        <f>ROUND(CZ2+CZ45-CZ82,5)</f>
        <v>-78569.05</v>
      </c>
      <c r="DA83" s="3"/>
      <c r="DB83" s="2">
        <f>ROUND(DB2+DB45-DB82,5)</f>
        <v>-108611.95</v>
      </c>
      <c r="DC83" s="3"/>
      <c r="DD83" s="2">
        <f>ROUND(DD2+DD45-DD82,5)</f>
        <v>-7705.03</v>
      </c>
      <c r="DE83" s="3"/>
      <c r="DF83" s="2">
        <f>ROUND(DF2+DF45-DF82,5)</f>
        <v>-4082.59</v>
      </c>
      <c r="DG83" s="3"/>
      <c r="DH83" s="2">
        <f>ROUND(DH2+DH45-DH82,5)</f>
        <v>9655.7099999999991</v>
      </c>
      <c r="DI83" s="3"/>
      <c r="DJ83" s="2">
        <f>ROUND(DJ2+DJ45-DJ82,5)</f>
        <v>-18367.810000000001</v>
      </c>
      <c r="DK83" s="3"/>
      <c r="DL83" s="2">
        <f>ROUND(DL2+DL45-DL82,5)</f>
        <v>18869.669999999998</v>
      </c>
      <c r="DM83" s="3"/>
      <c r="DN83" s="2">
        <f>ROUND(DN2+DN45-DN82,5)</f>
        <v>28464.1</v>
      </c>
      <c r="DO83" s="3"/>
      <c r="DP83" s="2">
        <f>ROUND(DP2+DP45-DP82,5)</f>
        <v>25734.99</v>
      </c>
      <c r="DQ83" s="3"/>
      <c r="DR83" s="2">
        <f>ROUND(DR2+DR45-DR82,5)</f>
        <v>23531.82</v>
      </c>
      <c r="DS83" s="3"/>
      <c r="DT83" s="2">
        <f>ROUND(DT2+DT45-DT82,5)</f>
        <v>-41066.69</v>
      </c>
      <c r="DU83" s="3"/>
      <c r="DV83" s="2">
        <f>ROUND(DV2+DV45-DV82,5)</f>
        <v>90034.61</v>
      </c>
      <c r="DW83" s="3"/>
      <c r="DX83" s="2">
        <f>ROUND(DX2+DX45-DX82,5)</f>
        <v>445.42</v>
      </c>
      <c r="DY83" s="3"/>
      <c r="DZ83" s="2">
        <f>ROUND(DZ2+DZ45-DZ82,5)</f>
        <v>32098.240000000002</v>
      </c>
      <c r="EA83" s="3"/>
      <c r="EB83" s="2">
        <f>ROUND(EB2+EB45-EB82,5)</f>
        <v>-104898.58</v>
      </c>
      <c r="EC83" s="3"/>
      <c r="ED83" s="2">
        <f>ROUND(ED2+ED45-ED82,5)</f>
        <v>33695.61</v>
      </c>
      <c r="EE83" s="3"/>
      <c r="EF83" s="2">
        <f>ROUND(EF2+EF45-EF82,5)</f>
        <v>50513.05</v>
      </c>
      <c r="EG83" s="3"/>
      <c r="EH83" s="2">
        <f t="shared" si="2"/>
        <v>288266.65999999997</v>
      </c>
    </row>
    <row r="84" spans="1:138" x14ac:dyDescent="0.45">
      <c r="A84" s="1"/>
      <c r="B84" s="1" t="s">
        <v>149</v>
      </c>
      <c r="C84" s="1"/>
      <c r="D84" s="1"/>
      <c r="E84" s="1"/>
      <c r="F84" s="2"/>
      <c r="G84" s="3"/>
      <c r="H84" s="2"/>
      <c r="I84" s="3"/>
      <c r="J84" s="2"/>
      <c r="K84" s="3"/>
      <c r="L84" s="2"/>
      <c r="M84" s="3"/>
      <c r="N84" s="2"/>
      <c r="O84" s="3"/>
      <c r="P84" s="2"/>
      <c r="Q84" s="3"/>
      <c r="R84" s="2"/>
      <c r="S84" s="3"/>
      <c r="T84" s="2"/>
      <c r="U84" s="3"/>
      <c r="V84" s="2"/>
      <c r="W84" s="3"/>
      <c r="X84" s="2"/>
      <c r="Y84" s="3"/>
      <c r="Z84" s="2"/>
      <c r="AA84" s="3"/>
      <c r="AB84" s="2"/>
      <c r="AC84" s="3"/>
      <c r="AD84" s="2"/>
      <c r="AE84" s="3"/>
      <c r="AF84" s="2"/>
      <c r="AG84" s="3"/>
      <c r="AH84" s="2"/>
      <c r="AI84" s="3"/>
      <c r="AJ84" s="2"/>
      <c r="AK84" s="3"/>
      <c r="AL84" s="2"/>
      <c r="AM84" s="3"/>
      <c r="AN84" s="2"/>
      <c r="AO84" s="3"/>
      <c r="AP84" s="2"/>
      <c r="AQ84" s="3"/>
      <c r="AR84" s="2"/>
      <c r="AS84" s="3"/>
      <c r="AT84" s="2"/>
      <c r="AU84" s="3"/>
      <c r="AV84" s="2"/>
      <c r="AW84" s="3"/>
      <c r="AX84" s="2"/>
      <c r="AY84" s="3"/>
      <c r="AZ84" s="2"/>
      <c r="BA84" s="3"/>
      <c r="BB84" s="2"/>
      <c r="BC84" s="3"/>
      <c r="BD84" s="2"/>
      <c r="BE84" s="3"/>
      <c r="BF84" s="2"/>
      <c r="BG84" s="3"/>
      <c r="BH84" s="2"/>
      <c r="BI84" s="3"/>
      <c r="BJ84" s="2"/>
      <c r="BK84" s="3"/>
      <c r="BL84" s="2"/>
      <c r="BM84" s="3"/>
      <c r="BN84" s="2"/>
      <c r="BO84" s="3"/>
      <c r="BP84" s="2"/>
      <c r="BQ84" s="3"/>
      <c r="BR84" s="2"/>
      <c r="BS84" s="3"/>
      <c r="BT84" s="2"/>
      <c r="BU84" s="3"/>
      <c r="BV84" s="2"/>
      <c r="BW84" s="3"/>
      <c r="BX84" s="2"/>
      <c r="BY84" s="3"/>
      <c r="BZ84" s="2"/>
      <c r="CA84" s="3"/>
      <c r="CB84" s="2"/>
      <c r="CC84" s="3"/>
      <c r="CD84" s="2"/>
      <c r="CE84" s="3"/>
      <c r="CF84" s="2"/>
      <c r="CG84" s="3"/>
      <c r="CH84" s="2"/>
      <c r="CI84" s="3"/>
      <c r="CJ84" s="2"/>
      <c r="CK84" s="3"/>
      <c r="CL84" s="2"/>
      <c r="CM84" s="3"/>
      <c r="CN84" s="2"/>
      <c r="CO84" s="3"/>
      <c r="CP84" s="2"/>
      <c r="CQ84" s="3"/>
      <c r="CR84" s="2"/>
      <c r="CS84" s="3"/>
      <c r="CT84" s="2"/>
      <c r="CU84" s="3"/>
      <c r="CV84" s="2"/>
      <c r="CW84" s="3"/>
      <c r="CX84" s="2"/>
      <c r="CY84" s="3"/>
      <c r="CZ84" s="2"/>
      <c r="DA84" s="3"/>
      <c r="DB84" s="2"/>
      <c r="DC84" s="3"/>
      <c r="DD84" s="2"/>
      <c r="DE84" s="3"/>
      <c r="DF84" s="2"/>
      <c r="DG84" s="3"/>
      <c r="DH84" s="2"/>
      <c r="DI84" s="3"/>
      <c r="DJ84" s="2"/>
      <c r="DK84" s="3"/>
      <c r="DL84" s="2"/>
      <c r="DM84" s="3"/>
      <c r="DN84" s="2"/>
      <c r="DO84" s="3"/>
      <c r="DP84" s="2"/>
      <c r="DQ84" s="3"/>
      <c r="DR84" s="2"/>
      <c r="DS84" s="3"/>
      <c r="DT84" s="2"/>
      <c r="DU84" s="3"/>
      <c r="DV84" s="2"/>
      <c r="DW84" s="3"/>
      <c r="DX84" s="2"/>
      <c r="DY84" s="3"/>
      <c r="DZ84" s="2"/>
      <c r="EA84" s="3"/>
      <c r="EB84" s="2"/>
      <c r="EC84" s="3"/>
      <c r="ED84" s="2"/>
      <c r="EE84" s="3"/>
      <c r="EF84" s="2"/>
      <c r="EG84" s="3"/>
      <c r="EH84" s="2"/>
    </row>
    <row r="85" spans="1:138" x14ac:dyDescent="0.45">
      <c r="A85" s="1"/>
      <c r="B85" s="1"/>
      <c r="C85" s="1" t="s">
        <v>150</v>
      </c>
      <c r="D85" s="1"/>
      <c r="E85" s="1"/>
      <c r="F85" s="2"/>
      <c r="G85" s="3"/>
      <c r="H85" s="2"/>
      <c r="I85" s="3"/>
      <c r="J85" s="2"/>
      <c r="K85" s="3"/>
      <c r="L85" s="2"/>
      <c r="M85" s="3"/>
      <c r="N85" s="2"/>
      <c r="O85" s="3"/>
      <c r="P85" s="2"/>
      <c r="Q85" s="3"/>
      <c r="R85" s="2"/>
      <c r="S85" s="3"/>
      <c r="T85" s="2"/>
      <c r="U85" s="3"/>
      <c r="V85" s="2"/>
      <c r="W85" s="3"/>
      <c r="X85" s="2"/>
      <c r="Y85" s="3"/>
      <c r="Z85" s="2"/>
      <c r="AA85" s="3"/>
      <c r="AB85" s="2"/>
      <c r="AC85" s="3"/>
      <c r="AD85" s="2"/>
      <c r="AE85" s="3"/>
      <c r="AF85" s="2"/>
      <c r="AG85" s="3"/>
      <c r="AH85" s="2"/>
      <c r="AI85" s="3"/>
      <c r="AJ85" s="2"/>
      <c r="AK85" s="3"/>
      <c r="AL85" s="2"/>
      <c r="AM85" s="3"/>
      <c r="AN85" s="2"/>
      <c r="AO85" s="3"/>
      <c r="AP85" s="2"/>
      <c r="AQ85" s="3"/>
      <c r="AR85" s="2"/>
      <c r="AS85" s="3"/>
      <c r="AT85" s="2"/>
      <c r="AU85" s="3"/>
      <c r="AV85" s="2"/>
      <c r="AW85" s="3"/>
      <c r="AX85" s="2"/>
      <c r="AY85" s="3"/>
      <c r="AZ85" s="2"/>
      <c r="BA85" s="3"/>
      <c r="BB85" s="2"/>
      <c r="BC85" s="3"/>
      <c r="BD85" s="2"/>
      <c r="BE85" s="3"/>
      <c r="BF85" s="2"/>
      <c r="BG85" s="3"/>
      <c r="BH85" s="2"/>
      <c r="BI85" s="3"/>
      <c r="BJ85" s="2"/>
      <c r="BK85" s="3"/>
      <c r="BL85" s="2"/>
      <c r="BM85" s="3"/>
      <c r="BN85" s="2"/>
      <c r="BO85" s="3"/>
      <c r="BP85" s="2"/>
      <c r="BQ85" s="3"/>
      <c r="BR85" s="2"/>
      <c r="BS85" s="3"/>
      <c r="BT85" s="2"/>
      <c r="BU85" s="3"/>
      <c r="BV85" s="2"/>
      <c r="BW85" s="3"/>
      <c r="BX85" s="2"/>
      <c r="BY85" s="3"/>
      <c r="BZ85" s="2"/>
      <c r="CA85" s="3"/>
      <c r="CB85" s="2"/>
      <c r="CC85" s="3"/>
      <c r="CD85" s="2"/>
      <c r="CE85" s="3"/>
      <c r="CF85" s="2"/>
      <c r="CG85" s="3"/>
      <c r="CH85" s="2"/>
      <c r="CI85" s="3"/>
      <c r="CJ85" s="2"/>
      <c r="CK85" s="3"/>
      <c r="CL85" s="2"/>
      <c r="CM85" s="3"/>
      <c r="CN85" s="2"/>
      <c r="CO85" s="3"/>
      <c r="CP85" s="2"/>
      <c r="CQ85" s="3"/>
      <c r="CR85" s="2"/>
      <c r="CS85" s="3"/>
      <c r="CT85" s="2"/>
      <c r="CU85" s="3"/>
      <c r="CV85" s="2"/>
      <c r="CW85" s="3"/>
      <c r="CX85" s="2"/>
      <c r="CY85" s="3"/>
      <c r="CZ85" s="2"/>
      <c r="DA85" s="3"/>
      <c r="DB85" s="2"/>
      <c r="DC85" s="3"/>
      <c r="DD85" s="2"/>
      <c r="DE85" s="3"/>
      <c r="DF85" s="2"/>
      <c r="DG85" s="3"/>
      <c r="DH85" s="2"/>
      <c r="DI85" s="3"/>
      <c r="DJ85" s="2"/>
      <c r="DK85" s="3"/>
      <c r="DL85" s="2"/>
      <c r="DM85" s="3"/>
      <c r="DN85" s="2"/>
      <c r="DO85" s="3"/>
      <c r="DP85" s="2"/>
      <c r="DQ85" s="3"/>
      <c r="DR85" s="2"/>
      <c r="DS85" s="3"/>
      <c r="DT85" s="2"/>
      <c r="DU85" s="3"/>
      <c r="DV85" s="2"/>
      <c r="DW85" s="3"/>
      <c r="DX85" s="2"/>
      <c r="DY85" s="3"/>
      <c r="DZ85" s="2"/>
      <c r="EA85" s="3"/>
      <c r="EB85" s="2"/>
      <c r="EC85" s="3"/>
      <c r="ED85" s="2"/>
      <c r="EE85" s="3"/>
      <c r="EF85" s="2"/>
      <c r="EG85" s="3"/>
      <c r="EH85" s="2"/>
    </row>
    <row r="86" spans="1:138" x14ac:dyDescent="0.45">
      <c r="A86" s="1"/>
      <c r="B86" s="1"/>
      <c r="C86" s="1"/>
      <c r="D86" s="1" t="s">
        <v>151</v>
      </c>
      <c r="E86" s="1"/>
      <c r="F86" s="2">
        <v>0</v>
      </c>
      <c r="G86" s="3"/>
      <c r="H86" s="2">
        <v>0</v>
      </c>
      <c r="I86" s="3"/>
      <c r="J86" s="2">
        <v>0</v>
      </c>
      <c r="K86" s="3"/>
      <c r="L86" s="2">
        <v>0</v>
      </c>
      <c r="M86" s="3"/>
      <c r="N86" s="2">
        <v>0</v>
      </c>
      <c r="O86" s="3"/>
      <c r="P86" s="2">
        <v>0</v>
      </c>
      <c r="Q86" s="3"/>
      <c r="R86" s="2">
        <v>0</v>
      </c>
      <c r="S86" s="3"/>
      <c r="T86" s="2">
        <v>0</v>
      </c>
      <c r="U86" s="3"/>
      <c r="V86" s="2">
        <v>0</v>
      </c>
      <c r="W86" s="3"/>
      <c r="X86" s="2">
        <v>0</v>
      </c>
      <c r="Y86" s="3"/>
      <c r="Z86" s="2">
        <v>0</v>
      </c>
      <c r="AA86" s="3"/>
      <c r="AB86" s="2">
        <v>0</v>
      </c>
      <c r="AC86" s="3"/>
      <c r="AD86" s="2">
        <v>0</v>
      </c>
      <c r="AE86" s="3"/>
      <c r="AF86" s="2">
        <v>0</v>
      </c>
      <c r="AG86" s="3"/>
      <c r="AH86" s="2">
        <v>0</v>
      </c>
      <c r="AI86" s="3"/>
      <c r="AJ86" s="2">
        <v>0</v>
      </c>
      <c r="AK86" s="3"/>
      <c r="AL86" s="2">
        <v>0</v>
      </c>
      <c r="AM86" s="3"/>
      <c r="AN86" s="2">
        <v>0</v>
      </c>
      <c r="AO86" s="3"/>
      <c r="AP86" s="2">
        <v>0</v>
      </c>
      <c r="AQ86" s="3"/>
      <c r="AR86" s="2">
        <v>0</v>
      </c>
      <c r="AS86" s="3"/>
      <c r="AT86" s="2">
        <v>0</v>
      </c>
      <c r="AU86" s="3"/>
      <c r="AV86" s="2">
        <v>0</v>
      </c>
      <c r="AW86" s="3"/>
      <c r="AX86" s="2">
        <v>0</v>
      </c>
      <c r="AY86" s="3"/>
      <c r="AZ86" s="2">
        <v>0</v>
      </c>
      <c r="BA86" s="3"/>
      <c r="BB86" s="2">
        <v>0</v>
      </c>
      <c r="BC86" s="3"/>
      <c r="BD86" s="2">
        <v>0</v>
      </c>
      <c r="BE86" s="3"/>
      <c r="BF86" s="2">
        <v>0</v>
      </c>
      <c r="BG86" s="3"/>
      <c r="BH86" s="2">
        <v>0</v>
      </c>
      <c r="BI86" s="3"/>
      <c r="BJ86" s="2">
        <v>0</v>
      </c>
      <c r="BK86" s="3"/>
      <c r="BL86" s="2">
        <v>0</v>
      </c>
      <c r="BM86" s="3"/>
      <c r="BN86" s="2">
        <v>0</v>
      </c>
      <c r="BO86" s="3"/>
      <c r="BP86" s="2">
        <v>0</v>
      </c>
      <c r="BQ86" s="3"/>
      <c r="BR86" s="2">
        <v>0</v>
      </c>
      <c r="BS86" s="3"/>
      <c r="BT86" s="2">
        <v>0</v>
      </c>
      <c r="BU86" s="3"/>
      <c r="BV86" s="2">
        <v>0</v>
      </c>
      <c r="BW86" s="3"/>
      <c r="BX86" s="2">
        <v>0</v>
      </c>
      <c r="BY86" s="3"/>
      <c r="BZ86" s="2">
        <v>0</v>
      </c>
      <c r="CA86" s="3"/>
      <c r="CB86" s="2">
        <v>0</v>
      </c>
      <c r="CC86" s="3"/>
      <c r="CD86" s="2">
        <v>0</v>
      </c>
      <c r="CE86" s="3"/>
      <c r="CF86" s="2">
        <v>0</v>
      </c>
      <c r="CG86" s="3"/>
      <c r="CH86" s="2">
        <v>0</v>
      </c>
      <c r="CI86" s="3"/>
      <c r="CJ86" s="2">
        <v>0</v>
      </c>
      <c r="CK86" s="3"/>
      <c r="CL86" s="2">
        <v>0</v>
      </c>
      <c r="CM86" s="3"/>
      <c r="CN86" s="2">
        <v>0</v>
      </c>
      <c r="CO86" s="3"/>
      <c r="CP86" s="2">
        <v>0</v>
      </c>
      <c r="CQ86" s="3"/>
      <c r="CR86" s="2">
        <v>0</v>
      </c>
      <c r="CS86" s="3"/>
      <c r="CT86" s="2">
        <v>0</v>
      </c>
      <c r="CU86" s="3"/>
      <c r="CV86" s="2">
        <v>0</v>
      </c>
      <c r="CW86" s="3"/>
      <c r="CX86" s="2">
        <v>0</v>
      </c>
      <c r="CY86" s="3"/>
      <c r="CZ86" s="2">
        <v>0</v>
      </c>
      <c r="DA86" s="3"/>
      <c r="DB86" s="2">
        <v>12438.98</v>
      </c>
      <c r="DC86" s="3"/>
      <c r="DD86" s="2">
        <v>0</v>
      </c>
      <c r="DE86" s="3"/>
      <c r="DF86" s="2">
        <v>0</v>
      </c>
      <c r="DG86" s="3"/>
      <c r="DH86" s="2">
        <v>0</v>
      </c>
      <c r="DI86" s="3"/>
      <c r="DJ86" s="2">
        <v>0</v>
      </c>
      <c r="DK86" s="3"/>
      <c r="DL86" s="2">
        <v>0</v>
      </c>
      <c r="DM86" s="3"/>
      <c r="DN86" s="2">
        <v>0</v>
      </c>
      <c r="DO86" s="3"/>
      <c r="DP86" s="2">
        <v>0</v>
      </c>
      <c r="DQ86" s="3"/>
      <c r="DR86" s="2">
        <v>0</v>
      </c>
      <c r="DS86" s="3"/>
      <c r="DT86" s="2">
        <v>0</v>
      </c>
      <c r="DU86" s="3"/>
      <c r="DV86" s="2">
        <v>0</v>
      </c>
      <c r="DW86" s="3"/>
      <c r="DX86" s="2">
        <v>0</v>
      </c>
      <c r="DY86" s="3"/>
      <c r="DZ86" s="2">
        <v>0</v>
      </c>
      <c r="EA86" s="3"/>
      <c r="EB86" s="2">
        <v>0</v>
      </c>
      <c r="EC86" s="3"/>
      <c r="ED86" s="2">
        <v>0</v>
      </c>
      <c r="EE86" s="3"/>
      <c r="EF86" s="2">
        <v>0</v>
      </c>
      <c r="EG86" s="3"/>
      <c r="EH86" s="2">
        <f>ROUND(SUM(F86:EF86),5)</f>
        <v>12438.98</v>
      </c>
    </row>
    <row r="87" spans="1:138" x14ac:dyDescent="0.45">
      <c r="A87" s="1"/>
      <c r="B87" s="1"/>
      <c r="C87" s="1"/>
      <c r="D87" s="1" t="s">
        <v>152</v>
      </c>
      <c r="E87" s="1"/>
      <c r="F87" s="2">
        <v>0</v>
      </c>
      <c r="G87" s="3"/>
      <c r="H87" s="2">
        <v>0</v>
      </c>
      <c r="I87" s="3"/>
      <c r="J87" s="2">
        <v>0</v>
      </c>
      <c r="K87" s="3"/>
      <c r="L87" s="2">
        <v>0</v>
      </c>
      <c r="M87" s="3"/>
      <c r="N87" s="2">
        <v>0</v>
      </c>
      <c r="O87" s="3"/>
      <c r="P87" s="2">
        <v>0</v>
      </c>
      <c r="Q87" s="3"/>
      <c r="R87" s="2">
        <v>0</v>
      </c>
      <c r="S87" s="3"/>
      <c r="T87" s="2">
        <v>0</v>
      </c>
      <c r="U87" s="3"/>
      <c r="V87" s="2">
        <v>0</v>
      </c>
      <c r="W87" s="3"/>
      <c r="X87" s="2">
        <v>0</v>
      </c>
      <c r="Y87" s="3"/>
      <c r="Z87" s="2">
        <v>0</v>
      </c>
      <c r="AA87" s="3"/>
      <c r="AB87" s="2">
        <v>101797.5</v>
      </c>
      <c r="AC87" s="3"/>
      <c r="AD87" s="2">
        <v>0</v>
      </c>
      <c r="AE87" s="3"/>
      <c r="AF87" s="2">
        <v>0</v>
      </c>
      <c r="AG87" s="3"/>
      <c r="AH87" s="2">
        <v>0</v>
      </c>
      <c r="AI87" s="3"/>
      <c r="AJ87" s="2">
        <v>0</v>
      </c>
      <c r="AK87" s="3"/>
      <c r="AL87" s="2">
        <v>0</v>
      </c>
      <c r="AM87" s="3"/>
      <c r="AN87" s="2">
        <v>0</v>
      </c>
      <c r="AO87" s="3"/>
      <c r="AP87" s="2">
        <v>0</v>
      </c>
      <c r="AQ87" s="3"/>
      <c r="AR87" s="2">
        <v>0</v>
      </c>
      <c r="AS87" s="3"/>
      <c r="AT87" s="2">
        <v>0</v>
      </c>
      <c r="AU87" s="3"/>
      <c r="AV87" s="2">
        <v>0</v>
      </c>
      <c r="AW87" s="3"/>
      <c r="AX87" s="2">
        <v>0</v>
      </c>
      <c r="AY87" s="3"/>
      <c r="AZ87" s="2">
        <v>0</v>
      </c>
      <c r="BA87" s="3"/>
      <c r="BB87" s="2">
        <v>0</v>
      </c>
      <c r="BC87" s="3"/>
      <c r="BD87" s="2">
        <v>0</v>
      </c>
      <c r="BE87" s="3"/>
      <c r="BF87" s="2">
        <v>0</v>
      </c>
      <c r="BG87" s="3"/>
      <c r="BH87" s="2">
        <v>0</v>
      </c>
      <c r="BI87" s="3"/>
      <c r="BJ87" s="2">
        <v>0</v>
      </c>
      <c r="BK87" s="3"/>
      <c r="BL87" s="2">
        <v>0</v>
      </c>
      <c r="BM87" s="3"/>
      <c r="BN87" s="2">
        <v>0</v>
      </c>
      <c r="BO87" s="3"/>
      <c r="BP87" s="2">
        <v>0</v>
      </c>
      <c r="BQ87" s="3"/>
      <c r="BR87" s="2">
        <v>0</v>
      </c>
      <c r="BS87" s="3"/>
      <c r="BT87" s="2">
        <v>0</v>
      </c>
      <c r="BU87" s="3"/>
      <c r="BV87" s="2">
        <v>0</v>
      </c>
      <c r="BW87" s="3"/>
      <c r="BX87" s="2">
        <v>0</v>
      </c>
      <c r="BY87" s="3"/>
      <c r="BZ87" s="2">
        <v>0</v>
      </c>
      <c r="CA87" s="3"/>
      <c r="CB87" s="2">
        <v>0</v>
      </c>
      <c r="CC87" s="3"/>
      <c r="CD87" s="2">
        <v>0</v>
      </c>
      <c r="CE87" s="3"/>
      <c r="CF87" s="2">
        <v>0</v>
      </c>
      <c r="CG87" s="3"/>
      <c r="CH87" s="2">
        <v>0</v>
      </c>
      <c r="CI87" s="3"/>
      <c r="CJ87" s="2">
        <v>0</v>
      </c>
      <c r="CK87" s="3"/>
      <c r="CL87" s="2">
        <v>0</v>
      </c>
      <c r="CM87" s="3"/>
      <c r="CN87" s="2">
        <v>0</v>
      </c>
      <c r="CO87" s="3"/>
      <c r="CP87" s="2">
        <v>0</v>
      </c>
      <c r="CQ87" s="3"/>
      <c r="CR87" s="2">
        <v>0</v>
      </c>
      <c r="CS87" s="3"/>
      <c r="CT87" s="2">
        <v>0</v>
      </c>
      <c r="CU87" s="3"/>
      <c r="CV87" s="2">
        <v>0</v>
      </c>
      <c r="CW87" s="3"/>
      <c r="CX87" s="2">
        <v>0</v>
      </c>
      <c r="CY87" s="3"/>
      <c r="CZ87" s="2">
        <v>0</v>
      </c>
      <c r="DA87" s="3"/>
      <c r="DB87" s="2">
        <v>0</v>
      </c>
      <c r="DC87" s="3"/>
      <c r="DD87" s="2">
        <v>0</v>
      </c>
      <c r="DE87" s="3"/>
      <c r="DF87" s="2">
        <v>0</v>
      </c>
      <c r="DG87" s="3"/>
      <c r="DH87" s="2">
        <v>0</v>
      </c>
      <c r="DI87" s="3"/>
      <c r="DJ87" s="2">
        <v>0</v>
      </c>
      <c r="DK87" s="3"/>
      <c r="DL87" s="2">
        <v>0</v>
      </c>
      <c r="DM87" s="3"/>
      <c r="DN87" s="2">
        <v>0</v>
      </c>
      <c r="DO87" s="3"/>
      <c r="DP87" s="2">
        <v>0</v>
      </c>
      <c r="DQ87" s="3"/>
      <c r="DR87" s="2">
        <v>0</v>
      </c>
      <c r="DS87" s="3"/>
      <c r="DT87" s="2">
        <v>0</v>
      </c>
      <c r="DU87" s="3"/>
      <c r="DV87" s="2">
        <v>0</v>
      </c>
      <c r="DW87" s="3"/>
      <c r="DX87" s="2">
        <v>0</v>
      </c>
      <c r="DY87" s="3"/>
      <c r="DZ87" s="2">
        <v>0</v>
      </c>
      <c r="EA87" s="3"/>
      <c r="EB87" s="2">
        <v>0</v>
      </c>
      <c r="EC87" s="3"/>
      <c r="ED87" s="2">
        <v>0</v>
      </c>
      <c r="EE87" s="3"/>
      <c r="EF87" s="2">
        <v>0</v>
      </c>
      <c r="EG87" s="3"/>
      <c r="EH87" s="2">
        <f>ROUND(SUM(F87:EF87),5)</f>
        <v>101797.5</v>
      </c>
    </row>
    <row r="88" spans="1:138" x14ac:dyDescent="0.45">
      <c r="A88" s="1"/>
      <c r="B88" s="1"/>
      <c r="C88" s="1"/>
      <c r="D88" s="1" t="s">
        <v>153</v>
      </c>
      <c r="E88" s="1"/>
      <c r="F88" s="2">
        <v>0</v>
      </c>
      <c r="G88" s="3"/>
      <c r="H88" s="2">
        <v>0</v>
      </c>
      <c r="I88" s="3"/>
      <c r="J88" s="2">
        <v>0</v>
      </c>
      <c r="K88" s="3"/>
      <c r="L88" s="2">
        <v>0</v>
      </c>
      <c r="M88" s="3"/>
      <c r="N88" s="2">
        <v>0</v>
      </c>
      <c r="O88" s="3"/>
      <c r="P88" s="2">
        <v>0</v>
      </c>
      <c r="Q88" s="3"/>
      <c r="R88" s="2">
        <v>0</v>
      </c>
      <c r="S88" s="3"/>
      <c r="T88" s="2">
        <v>0</v>
      </c>
      <c r="U88" s="3"/>
      <c r="V88" s="2">
        <v>0</v>
      </c>
      <c r="W88" s="3"/>
      <c r="X88" s="2">
        <v>0</v>
      </c>
      <c r="Y88" s="3"/>
      <c r="Z88" s="2">
        <v>0</v>
      </c>
      <c r="AA88" s="3"/>
      <c r="AB88" s="2">
        <v>0</v>
      </c>
      <c r="AC88" s="3"/>
      <c r="AD88" s="2">
        <v>0</v>
      </c>
      <c r="AE88" s="3"/>
      <c r="AF88" s="2">
        <v>0</v>
      </c>
      <c r="AG88" s="3"/>
      <c r="AH88" s="2">
        <v>93.41</v>
      </c>
      <c r="AI88" s="3"/>
      <c r="AJ88" s="2">
        <v>0</v>
      </c>
      <c r="AK88" s="3"/>
      <c r="AL88" s="2">
        <v>0</v>
      </c>
      <c r="AM88" s="3"/>
      <c r="AN88" s="2">
        <v>0</v>
      </c>
      <c r="AO88" s="3"/>
      <c r="AP88" s="2">
        <v>0</v>
      </c>
      <c r="AQ88" s="3"/>
      <c r="AR88" s="2">
        <v>0</v>
      </c>
      <c r="AS88" s="3"/>
      <c r="AT88" s="2">
        <v>0</v>
      </c>
      <c r="AU88" s="3"/>
      <c r="AV88" s="2">
        <v>0</v>
      </c>
      <c r="AW88" s="3"/>
      <c r="AX88" s="2">
        <v>0</v>
      </c>
      <c r="AY88" s="3"/>
      <c r="AZ88" s="2">
        <v>0</v>
      </c>
      <c r="BA88" s="3"/>
      <c r="BB88" s="2">
        <v>0</v>
      </c>
      <c r="BC88" s="3"/>
      <c r="BD88" s="2">
        <v>0</v>
      </c>
      <c r="BE88" s="3"/>
      <c r="BF88" s="2">
        <v>0</v>
      </c>
      <c r="BG88" s="3"/>
      <c r="BH88" s="2">
        <v>0</v>
      </c>
      <c r="BI88" s="3"/>
      <c r="BJ88" s="2">
        <v>0</v>
      </c>
      <c r="BK88" s="3"/>
      <c r="BL88" s="2">
        <v>0</v>
      </c>
      <c r="BM88" s="3"/>
      <c r="BN88" s="2">
        <v>0</v>
      </c>
      <c r="BO88" s="3"/>
      <c r="BP88" s="2">
        <v>0</v>
      </c>
      <c r="BQ88" s="3"/>
      <c r="BR88" s="2">
        <v>0</v>
      </c>
      <c r="BS88" s="3"/>
      <c r="BT88" s="2">
        <v>0</v>
      </c>
      <c r="BU88" s="3"/>
      <c r="BV88" s="2">
        <v>0</v>
      </c>
      <c r="BW88" s="3"/>
      <c r="BX88" s="2">
        <v>0</v>
      </c>
      <c r="BY88" s="3"/>
      <c r="BZ88" s="2">
        <v>0</v>
      </c>
      <c r="CA88" s="3"/>
      <c r="CB88" s="2">
        <v>0</v>
      </c>
      <c r="CC88" s="3"/>
      <c r="CD88" s="2">
        <v>0</v>
      </c>
      <c r="CE88" s="3"/>
      <c r="CF88" s="2">
        <v>0</v>
      </c>
      <c r="CG88" s="3"/>
      <c r="CH88" s="2">
        <v>0</v>
      </c>
      <c r="CI88" s="3"/>
      <c r="CJ88" s="2">
        <v>0</v>
      </c>
      <c r="CK88" s="3"/>
      <c r="CL88" s="2">
        <v>0</v>
      </c>
      <c r="CM88" s="3"/>
      <c r="CN88" s="2">
        <v>0</v>
      </c>
      <c r="CO88" s="3"/>
      <c r="CP88" s="2">
        <v>0</v>
      </c>
      <c r="CQ88" s="3"/>
      <c r="CR88" s="2">
        <v>0</v>
      </c>
      <c r="CS88" s="3"/>
      <c r="CT88" s="2">
        <v>0</v>
      </c>
      <c r="CU88" s="3"/>
      <c r="CV88" s="2">
        <v>0</v>
      </c>
      <c r="CW88" s="3"/>
      <c r="CX88" s="2">
        <v>0</v>
      </c>
      <c r="CY88" s="3"/>
      <c r="CZ88" s="2">
        <v>0</v>
      </c>
      <c r="DA88" s="3"/>
      <c r="DB88" s="2">
        <v>0</v>
      </c>
      <c r="DC88" s="3"/>
      <c r="DD88" s="2">
        <v>0</v>
      </c>
      <c r="DE88" s="3"/>
      <c r="DF88" s="2">
        <v>0</v>
      </c>
      <c r="DG88" s="3"/>
      <c r="DH88" s="2">
        <v>0</v>
      </c>
      <c r="DI88" s="3"/>
      <c r="DJ88" s="2">
        <v>0</v>
      </c>
      <c r="DK88" s="3"/>
      <c r="DL88" s="2">
        <v>0</v>
      </c>
      <c r="DM88" s="3"/>
      <c r="DN88" s="2">
        <v>0</v>
      </c>
      <c r="DO88" s="3"/>
      <c r="DP88" s="2">
        <v>0</v>
      </c>
      <c r="DQ88" s="3"/>
      <c r="DR88" s="2">
        <v>0</v>
      </c>
      <c r="DS88" s="3"/>
      <c r="DT88" s="2">
        <v>0</v>
      </c>
      <c r="DU88" s="3"/>
      <c r="DV88" s="2">
        <v>0</v>
      </c>
      <c r="DW88" s="3"/>
      <c r="DX88" s="2">
        <v>0</v>
      </c>
      <c r="DY88" s="3"/>
      <c r="DZ88" s="2">
        <v>0</v>
      </c>
      <c r="EA88" s="3"/>
      <c r="EB88" s="2">
        <v>0</v>
      </c>
      <c r="EC88" s="3"/>
      <c r="ED88" s="2">
        <v>0</v>
      </c>
      <c r="EE88" s="3"/>
      <c r="EF88" s="2">
        <v>0</v>
      </c>
      <c r="EG88" s="3"/>
      <c r="EH88" s="2">
        <f>ROUND(SUM(F88:EF88),5)</f>
        <v>93.41</v>
      </c>
    </row>
    <row r="89" spans="1:138" ht="14.65" thickBot="1" x14ac:dyDescent="0.5">
      <c r="A89" s="1"/>
      <c r="B89" s="1"/>
      <c r="C89" s="1"/>
      <c r="D89" s="1" t="s">
        <v>154</v>
      </c>
      <c r="E89" s="1"/>
      <c r="F89" s="4">
        <v>0</v>
      </c>
      <c r="G89" s="3"/>
      <c r="H89" s="4">
        <v>0</v>
      </c>
      <c r="I89" s="3"/>
      <c r="J89" s="4">
        <v>0</v>
      </c>
      <c r="K89" s="3"/>
      <c r="L89" s="4">
        <v>0</v>
      </c>
      <c r="M89" s="3"/>
      <c r="N89" s="4">
        <v>0</v>
      </c>
      <c r="O89" s="3"/>
      <c r="P89" s="4">
        <v>0</v>
      </c>
      <c r="Q89" s="3"/>
      <c r="R89" s="4">
        <v>393.32</v>
      </c>
      <c r="S89" s="3"/>
      <c r="T89" s="4">
        <v>0</v>
      </c>
      <c r="U89" s="3"/>
      <c r="V89" s="4">
        <v>172</v>
      </c>
      <c r="W89" s="3"/>
      <c r="X89" s="4">
        <v>88.8</v>
      </c>
      <c r="Y89" s="3"/>
      <c r="Z89" s="4">
        <v>0</v>
      </c>
      <c r="AA89" s="3"/>
      <c r="AB89" s="4">
        <v>-654.12</v>
      </c>
      <c r="AC89" s="3"/>
      <c r="AD89" s="4">
        <v>0</v>
      </c>
      <c r="AE89" s="3"/>
      <c r="AF89" s="4">
        <v>0</v>
      </c>
      <c r="AG89" s="3"/>
      <c r="AH89" s="4">
        <v>0</v>
      </c>
      <c r="AI89" s="3"/>
      <c r="AJ89" s="4">
        <v>200</v>
      </c>
      <c r="AK89" s="3"/>
      <c r="AL89" s="4">
        <v>0</v>
      </c>
      <c r="AM89" s="3"/>
      <c r="AN89" s="4">
        <v>-98.41</v>
      </c>
      <c r="AO89" s="3"/>
      <c r="AP89" s="4">
        <v>0</v>
      </c>
      <c r="AQ89" s="3"/>
      <c r="AR89" s="4">
        <v>0</v>
      </c>
      <c r="AS89" s="3"/>
      <c r="AT89" s="4">
        <v>0</v>
      </c>
      <c r="AU89" s="3"/>
      <c r="AV89" s="4">
        <v>-1369.02</v>
      </c>
      <c r="AW89" s="3"/>
      <c r="AX89" s="4">
        <v>150</v>
      </c>
      <c r="AY89" s="3"/>
      <c r="AZ89" s="4">
        <v>1117.43</v>
      </c>
      <c r="BA89" s="3"/>
      <c r="BB89" s="4">
        <v>-1998.71</v>
      </c>
      <c r="BC89" s="3"/>
      <c r="BD89" s="4">
        <v>0</v>
      </c>
      <c r="BE89" s="3"/>
      <c r="BF89" s="4">
        <v>0</v>
      </c>
      <c r="BG89" s="3"/>
      <c r="BH89" s="4">
        <v>1006</v>
      </c>
      <c r="BI89" s="3"/>
      <c r="BJ89" s="4">
        <v>0</v>
      </c>
      <c r="BK89" s="3"/>
      <c r="BL89" s="4">
        <v>75</v>
      </c>
      <c r="BM89" s="3"/>
      <c r="BN89" s="4">
        <v>63.25</v>
      </c>
      <c r="BO89" s="3"/>
      <c r="BP89" s="4">
        <v>786.5</v>
      </c>
      <c r="BQ89" s="3"/>
      <c r="BR89" s="4">
        <v>2985</v>
      </c>
      <c r="BS89" s="3"/>
      <c r="BT89" s="4">
        <v>0</v>
      </c>
      <c r="BU89" s="3"/>
      <c r="BV89" s="4">
        <v>100</v>
      </c>
      <c r="BW89" s="3"/>
      <c r="BX89" s="4">
        <v>-3017.04</v>
      </c>
      <c r="BY89" s="3"/>
      <c r="BZ89" s="4">
        <v>246</v>
      </c>
      <c r="CA89" s="3"/>
      <c r="CB89" s="4">
        <v>260</v>
      </c>
      <c r="CC89" s="3"/>
      <c r="CD89" s="4">
        <v>152.6</v>
      </c>
      <c r="CE89" s="3"/>
      <c r="CF89" s="4">
        <v>152.6</v>
      </c>
      <c r="CG89" s="3"/>
      <c r="CH89" s="4">
        <v>100</v>
      </c>
      <c r="CI89" s="3"/>
      <c r="CJ89" s="4">
        <v>318.60000000000002</v>
      </c>
      <c r="CK89" s="3"/>
      <c r="CL89" s="4">
        <v>340</v>
      </c>
      <c r="CM89" s="3"/>
      <c r="CN89" s="4">
        <v>111.3</v>
      </c>
      <c r="CO89" s="3"/>
      <c r="CP89" s="4">
        <v>1360</v>
      </c>
      <c r="CQ89" s="3"/>
      <c r="CR89" s="4">
        <v>0</v>
      </c>
      <c r="CS89" s="3"/>
      <c r="CT89" s="4">
        <v>3458.21</v>
      </c>
      <c r="CU89" s="3"/>
      <c r="CV89" s="4">
        <v>-6499.31</v>
      </c>
      <c r="CW89" s="3"/>
      <c r="CX89" s="4">
        <v>1030</v>
      </c>
      <c r="CY89" s="3"/>
      <c r="CZ89" s="4">
        <v>0</v>
      </c>
      <c r="DA89" s="3"/>
      <c r="DB89" s="4">
        <v>1710</v>
      </c>
      <c r="DC89" s="3"/>
      <c r="DD89" s="4">
        <v>0</v>
      </c>
      <c r="DE89" s="3"/>
      <c r="DF89" s="4">
        <v>15</v>
      </c>
      <c r="DG89" s="3"/>
      <c r="DH89" s="4">
        <v>100</v>
      </c>
      <c r="DI89" s="3"/>
      <c r="DJ89" s="4">
        <v>3771.37</v>
      </c>
      <c r="DK89" s="3"/>
      <c r="DL89" s="4">
        <v>-3771.37</v>
      </c>
      <c r="DM89" s="3"/>
      <c r="DN89" s="4">
        <v>0</v>
      </c>
      <c r="DO89" s="3"/>
      <c r="DP89" s="4">
        <v>400</v>
      </c>
      <c r="DQ89" s="3"/>
      <c r="DR89" s="4">
        <v>150</v>
      </c>
      <c r="DS89" s="3"/>
      <c r="DT89" s="4">
        <v>-3405</v>
      </c>
      <c r="DU89" s="3"/>
      <c r="DV89" s="4">
        <v>1600</v>
      </c>
      <c r="DW89" s="3"/>
      <c r="DX89" s="4">
        <v>0</v>
      </c>
      <c r="DY89" s="3"/>
      <c r="DZ89" s="4">
        <v>8000</v>
      </c>
      <c r="EA89" s="3"/>
      <c r="EB89" s="4">
        <v>0</v>
      </c>
      <c r="EC89" s="3"/>
      <c r="ED89" s="4">
        <v>-3</v>
      </c>
      <c r="EE89" s="3"/>
      <c r="EF89" s="4">
        <v>13349.75</v>
      </c>
      <c r="EG89" s="3"/>
      <c r="EH89" s="4">
        <f>ROUND(SUM(F89:EF89),5)</f>
        <v>22946.75</v>
      </c>
    </row>
    <row r="90" spans="1:138" x14ac:dyDescent="0.45">
      <c r="A90" s="1"/>
      <c r="B90" s="1"/>
      <c r="C90" s="1" t="s">
        <v>155</v>
      </c>
      <c r="D90" s="1"/>
      <c r="E90" s="1"/>
      <c r="F90" s="2">
        <f>ROUND(SUM(F85:F89),5)</f>
        <v>0</v>
      </c>
      <c r="G90" s="3"/>
      <c r="H90" s="2">
        <f>ROUND(SUM(H85:H89),5)</f>
        <v>0</v>
      </c>
      <c r="I90" s="3"/>
      <c r="J90" s="2">
        <f>ROUND(SUM(J85:J89),5)</f>
        <v>0</v>
      </c>
      <c r="K90" s="3"/>
      <c r="L90" s="2">
        <f>ROUND(SUM(L85:L89),5)</f>
        <v>0</v>
      </c>
      <c r="M90" s="3"/>
      <c r="N90" s="2">
        <f>ROUND(SUM(N85:N89),5)</f>
        <v>0</v>
      </c>
      <c r="O90" s="3"/>
      <c r="P90" s="2">
        <f>ROUND(SUM(P85:P89),5)</f>
        <v>0</v>
      </c>
      <c r="Q90" s="3"/>
      <c r="R90" s="2">
        <f>ROUND(SUM(R85:R89),5)</f>
        <v>393.32</v>
      </c>
      <c r="S90" s="3"/>
      <c r="T90" s="2">
        <f>ROUND(SUM(T85:T89),5)</f>
        <v>0</v>
      </c>
      <c r="U90" s="3"/>
      <c r="V90" s="2">
        <f>ROUND(SUM(V85:V89),5)</f>
        <v>172</v>
      </c>
      <c r="W90" s="3"/>
      <c r="X90" s="2">
        <f>ROUND(SUM(X85:X89),5)</f>
        <v>88.8</v>
      </c>
      <c r="Y90" s="3"/>
      <c r="Z90" s="2">
        <f>ROUND(SUM(Z85:Z89),5)</f>
        <v>0</v>
      </c>
      <c r="AA90" s="3"/>
      <c r="AB90" s="2">
        <f>ROUND(SUM(AB85:AB89),5)</f>
        <v>101143.38</v>
      </c>
      <c r="AC90" s="3"/>
      <c r="AD90" s="2">
        <f>ROUND(SUM(AD85:AD89),5)</f>
        <v>0</v>
      </c>
      <c r="AE90" s="3"/>
      <c r="AF90" s="2">
        <f>ROUND(SUM(AF85:AF89),5)</f>
        <v>0</v>
      </c>
      <c r="AG90" s="3"/>
      <c r="AH90" s="2">
        <f>ROUND(SUM(AH85:AH89),5)</f>
        <v>93.41</v>
      </c>
      <c r="AI90" s="3"/>
      <c r="AJ90" s="2">
        <f>ROUND(SUM(AJ85:AJ89),5)</f>
        <v>200</v>
      </c>
      <c r="AK90" s="3"/>
      <c r="AL90" s="2">
        <f>ROUND(SUM(AL85:AL89),5)</f>
        <v>0</v>
      </c>
      <c r="AM90" s="3"/>
      <c r="AN90" s="2">
        <f>ROUND(SUM(AN85:AN89),5)</f>
        <v>-98.41</v>
      </c>
      <c r="AO90" s="3"/>
      <c r="AP90" s="2">
        <f>ROUND(SUM(AP85:AP89),5)</f>
        <v>0</v>
      </c>
      <c r="AQ90" s="3"/>
      <c r="AR90" s="2">
        <f>ROUND(SUM(AR85:AR89),5)</f>
        <v>0</v>
      </c>
      <c r="AS90" s="3"/>
      <c r="AT90" s="2">
        <f>ROUND(SUM(AT85:AT89),5)</f>
        <v>0</v>
      </c>
      <c r="AU90" s="3"/>
      <c r="AV90" s="2">
        <f>ROUND(SUM(AV85:AV89),5)</f>
        <v>-1369.02</v>
      </c>
      <c r="AW90" s="3"/>
      <c r="AX90" s="2">
        <f>ROUND(SUM(AX85:AX89),5)</f>
        <v>150</v>
      </c>
      <c r="AY90" s="3"/>
      <c r="AZ90" s="2">
        <f>ROUND(SUM(AZ85:AZ89),5)</f>
        <v>1117.43</v>
      </c>
      <c r="BA90" s="3"/>
      <c r="BB90" s="2">
        <f>ROUND(SUM(BB85:BB89),5)</f>
        <v>-1998.71</v>
      </c>
      <c r="BC90" s="3"/>
      <c r="BD90" s="2">
        <f>ROUND(SUM(BD85:BD89),5)</f>
        <v>0</v>
      </c>
      <c r="BE90" s="3"/>
      <c r="BF90" s="2">
        <f>ROUND(SUM(BF85:BF89),5)</f>
        <v>0</v>
      </c>
      <c r="BG90" s="3"/>
      <c r="BH90" s="2">
        <f>ROUND(SUM(BH85:BH89),5)</f>
        <v>1006</v>
      </c>
      <c r="BI90" s="3"/>
      <c r="BJ90" s="2">
        <f>ROUND(SUM(BJ85:BJ89),5)</f>
        <v>0</v>
      </c>
      <c r="BK90" s="3"/>
      <c r="BL90" s="2">
        <f>ROUND(SUM(BL85:BL89),5)</f>
        <v>75</v>
      </c>
      <c r="BM90" s="3"/>
      <c r="BN90" s="2">
        <f>ROUND(SUM(BN85:BN89),5)</f>
        <v>63.25</v>
      </c>
      <c r="BO90" s="3"/>
      <c r="BP90" s="2">
        <f>ROUND(SUM(BP85:BP89),5)</f>
        <v>786.5</v>
      </c>
      <c r="BQ90" s="3"/>
      <c r="BR90" s="2">
        <f>ROUND(SUM(BR85:BR89),5)</f>
        <v>2985</v>
      </c>
      <c r="BS90" s="3"/>
      <c r="BT90" s="2">
        <f>ROUND(SUM(BT85:BT89),5)</f>
        <v>0</v>
      </c>
      <c r="BU90" s="3"/>
      <c r="BV90" s="2">
        <f>ROUND(SUM(BV85:BV89),5)</f>
        <v>100</v>
      </c>
      <c r="BW90" s="3"/>
      <c r="BX90" s="2">
        <f>ROUND(SUM(BX85:BX89),5)</f>
        <v>-3017.04</v>
      </c>
      <c r="BY90" s="3"/>
      <c r="BZ90" s="2">
        <f>ROUND(SUM(BZ85:BZ89),5)</f>
        <v>246</v>
      </c>
      <c r="CA90" s="3"/>
      <c r="CB90" s="2">
        <f>ROUND(SUM(CB85:CB89),5)</f>
        <v>260</v>
      </c>
      <c r="CC90" s="3"/>
      <c r="CD90" s="2">
        <f>ROUND(SUM(CD85:CD89),5)</f>
        <v>152.6</v>
      </c>
      <c r="CE90" s="3"/>
      <c r="CF90" s="2">
        <f>ROUND(SUM(CF85:CF89),5)</f>
        <v>152.6</v>
      </c>
      <c r="CG90" s="3"/>
      <c r="CH90" s="2">
        <f>ROUND(SUM(CH85:CH89),5)</f>
        <v>100</v>
      </c>
      <c r="CI90" s="3"/>
      <c r="CJ90" s="2">
        <f>ROUND(SUM(CJ85:CJ89),5)</f>
        <v>318.60000000000002</v>
      </c>
      <c r="CK90" s="3"/>
      <c r="CL90" s="2">
        <f>ROUND(SUM(CL85:CL89),5)</f>
        <v>340</v>
      </c>
      <c r="CM90" s="3"/>
      <c r="CN90" s="2">
        <f>ROUND(SUM(CN85:CN89),5)</f>
        <v>111.3</v>
      </c>
      <c r="CO90" s="3"/>
      <c r="CP90" s="2">
        <f>ROUND(SUM(CP85:CP89),5)</f>
        <v>1360</v>
      </c>
      <c r="CQ90" s="3"/>
      <c r="CR90" s="2">
        <f>ROUND(SUM(CR85:CR89),5)</f>
        <v>0</v>
      </c>
      <c r="CS90" s="3"/>
      <c r="CT90" s="2">
        <f>ROUND(SUM(CT85:CT89),5)</f>
        <v>3458.21</v>
      </c>
      <c r="CU90" s="3"/>
      <c r="CV90" s="2">
        <f>ROUND(SUM(CV85:CV89),5)</f>
        <v>-6499.31</v>
      </c>
      <c r="CW90" s="3"/>
      <c r="CX90" s="2">
        <f>ROUND(SUM(CX85:CX89),5)</f>
        <v>1030</v>
      </c>
      <c r="CY90" s="3"/>
      <c r="CZ90" s="2">
        <f>ROUND(SUM(CZ85:CZ89),5)</f>
        <v>0</v>
      </c>
      <c r="DA90" s="3"/>
      <c r="DB90" s="2">
        <f>ROUND(SUM(DB85:DB89),5)</f>
        <v>14148.98</v>
      </c>
      <c r="DC90" s="3"/>
      <c r="DD90" s="2">
        <f>ROUND(SUM(DD85:DD89),5)</f>
        <v>0</v>
      </c>
      <c r="DE90" s="3"/>
      <c r="DF90" s="2">
        <f>ROUND(SUM(DF85:DF89),5)</f>
        <v>15</v>
      </c>
      <c r="DG90" s="3"/>
      <c r="DH90" s="2">
        <f>ROUND(SUM(DH85:DH89),5)</f>
        <v>100</v>
      </c>
      <c r="DI90" s="3"/>
      <c r="DJ90" s="2">
        <f>ROUND(SUM(DJ85:DJ89),5)</f>
        <v>3771.37</v>
      </c>
      <c r="DK90" s="3"/>
      <c r="DL90" s="2">
        <f>ROUND(SUM(DL85:DL89),5)</f>
        <v>-3771.37</v>
      </c>
      <c r="DM90" s="3"/>
      <c r="DN90" s="2">
        <f>ROUND(SUM(DN85:DN89),5)</f>
        <v>0</v>
      </c>
      <c r="DO90" s="3"/>
      <c r="DP90" s="2">
        <f>ROUND(SUM(DP85:DP89),5)</f>
        <v>400</v>
      </c>
      <c r="DQ90" s="3"/>
      <c r="DR90" s="2">
        <f>ROUND(SUM(DR85:DR89),5)</f>
        <v>150</v>
      </c>
      <c r="DS90" s="3"/>
      <c r="DT90" s="2">
        <f>ROUND(SUM(DT85:DT89),5)</f>
        <v>-3405</v>
      </c>
      <c r="DU90" s="3"/>
      <c r="DV90" s="2">
        <f>ROUND(SUM(DV85:DV89),5)</f>
        <v>1600</v>
      </c>
      <c r="DW90" s="3"/>
      <c r="DX90" s="2">
        <f>ROUND(SUM(DX85:DX89),5)</f>
        <v>0</v>
      </c>
      <c r="DY90" s="3"/>
      <c r="DZ90" s="2">
        <f>ROUND(SUM(DZ85:DZ89),5)</f>
        <v>8000</v>
      </c>
      <c r="EA90" s="3"/>
      <c r="EB90" s="2">
        <f>ROUND(SUM(EB85:EB89),5)</f>
        <v>0</v>
      </c>
      <c r="EC90" s="3"/>
      <c r="ED90" s="2">
        <f>ROUND(SUM(ED85:ED89),5)</f>
        <v>-3</v>
      </c>
      <c r="EE90" s="3"/>
      <c r="EF90" s="2">
        <f>ROUND(SUM(EF85:EF89),5)</f>
        <v>13349.75</v>
      </c>
      <c r="EG90" s="3"/>
      <c r="EH90" s="2">
        <f>ROUND(SUM(F90:EF90),5)</f>
        <v>137276.64000000001</v>
      </c>
    </row>
    <row r="91" spans="1:138" x14ac:dyDescent="0.45">
      <c r="A91" s="1"/>
      <c r="B91" s="1"/>
      <c r="C91" s="1" t="s">
        <v>156</v>
      </c>
      <c r="D91" s="1"/>
      <c r="E91" s="1"/>
      <c r="F91" s="2"/>
      <c r="G91" s="3"/>
      <c r="H91" s="2"/>
      <c r="I91" s="3"/>
      <c r="J91" s="2"/>
      <c r="K91" s="3"/>
      <c r="L91" s="2"/>
      <c r="M91" s="3"/>
      <c r="N91" s="2"/>
      <c r="O91" s="3"/>
      <c r="P91" s="2"/>
      <c r="Q91" s="3"/>
      <c r="R91" s="2"/>
      <c r="S91" s="3"/>
      <c r="T91" s="2"/>
      <c r="U91" s="3"/>
      <c r="V91" s="2"/>
      <c r="W91" s="3"/>
      <c r="X91" s="2"/>
      <c r="Y91" s="3"/>
      <c r="Z91" s="2"/>
      <c r="AA91" s="3"/>
      <c r="AB91" s="2"/>
      <c r="AC91" s="3"/>
      <c r="AD91" s="2"/>
      <c r="AE91" s="3"/>
      <c r="AF91" s="2"/>
      <c r="AG91" s="3"/>
      <c r="AH91" s="2"/>
      <c r="AI91" s="3"/>
      <c r="AJ91" s="2"/>
      <c r="AK91" s="3"/>
      <c r="AL91" s="2"/>
      <c r="AM91" s="3"/>
      <c r="AN91" s="2"/>
      <c r="AO91" s="3"/>
      <c r="AP91" s="2"/>
      <c r="AQ91" s="3"/>
      <c r="AR91" s="2"/>
      <c r="AS91" s="3"/>
      <c r="AT91" s="2"/>
      <c r="AU91" s="3"/>
      <c r="AV91" s="2"/>
      <c r="AW91" s="3"/>
      <c r="AX91" s="2"/>
      <c r="AY91" s="3"/>
      <c r="AZ91" s="2"/>
      <c r="BA91" s="3"/>
      <c r="BB91" s="2"/>
      <c r="BC91" s="3"/>
      <c r="BD91" s="2"/>
      <c r="BE91" s="3"/>
      <c r="BF91" s="2"/>
      <c r="BG91" s="3"/>
      <c r="BH91" s="2"/>
      <c r="BI91" s="3"/>
      <c r="BJ91" s="2"/>
      <c r="BK91" s="3"/>
      <c r="BL91" s="2"/>
      <c r="BM91" s="3"/>
      <c r="BN91" s="2"/>
      <c r="BO91" s="3"/>
      <c r="BP91" s="2"/>
      <c r="BQ91" s="3"/>
      <c r="BR91" s="2"/>
      <c r="BS91" s="3"/>
      <c r="BT91" s="2"/>
      <c r="BU91" s="3"/>
      <c r="BV91" s="2"/>
      <c r="BW91" s="3"/>
      <c r="BX91" s="2"/>
      <c r="BY91" s="3"/>
      <c r="BZ91" s="2"/>
      <c r="CA91" s="3"/>
      <c r="CB91" s="2"/>
      <c r="CC91" s="3"/>
      <c r="CD91" s="2"/>
      <c r="CE91" s="3"/>
      <c r="CF91" s="2"/>
      <c r="CG91" s="3"/>
      <c r="CH91" s="2"/>
      <c r="CI91" s="3"/>
      <c r="CJ91" s="2"/>
      <c r="CK91" s="3"/>
      <c r="CL91" s="2"/>
      <c r="CM91" s="3"/>
      <c r="CN91" s="2"/>
      <c r="CO91" s="3"/>
      <c r="CP91" s="2"/>
      <c r="CQ91" s="3"/>
      <c r="CR91" s="2"/>
      <c r="CS91" s="3"/>
      <c r="CT91" s="2"/>
      <c r="CU91" s="3"/>
      <c r="CV91" s="2"/>
      <c r="CW91" s="3"/>
      <c r="CX91" s="2"/>
      <c r="CY91" s="3"/>
      <c r="CZ91" s="2"/>
      <c r="DA91" s="3"/>
      <c r="DB91" s="2"/>
      <c r="DC91" s="3"/>
      <c r="DD91" s="2"/>
      <c r="DE91" s="3"/>
      <c r="DF91" s="2"/>
      <c r="DG91" s="3"/>
      <c r="DH91" s="2"/>
      <c r="DI91" s="3"/>
      <c r="DJ91" s="2"/>
      <c r="DK91" s="3"/>
      <c r="DL91" s="2"/>
      <c r="DM91" s="3"/>
      <c r="DN91" s="2"/>
      <c r="DO91" s="3"/>
      <c r="DP91" s="2"/>
      <c r="DQ91" s="3"/>
      <c r="DR91" s="2"/>
      <c r="DS91" s="3"/>
      <c r="DT91" s="2"/>
      <c r="DU91" s="3"/>
      <c r="DV91" s="2"/>
      <c r="DW91" s="3"/>
      <c r="DX91" s="2"/>
      <c r="DY91" s="3"/>
      <c r="DZ91" s="2"/>
      <c r="EA91" s="3"/>
      <c r="EB91" s="2"/>
      <c r="EC91" s="3"/>
      <c r="ED91" s="2"/>
      <c r="EE91" s="3"/>
      <c r="EF91" s="2"/>
      <c r="EG91" s="3"/>
      <c r="EH91" s="2"/>
    </row>
    <row r="92" spans="1:138" ht="14.65" thickBot="1" x14ac:dyDescent="0.5">
      <c r="A92" s="1"/>
      <c r="B92" s="1"/>
      <c r="C92" s="1"/>
      <c r="D92" s="1" t="s">
        <v>157</v>
      </c>
      <c r="E92" s="1"/>
      <c r="F92" s="2">
        <v>0</v>
      </c>
      <c r="G92" s="3"/>
      <c r="H92" s="2">
        <v>0</v>
      </c>
      <c r="I92" s="3"/>
      <c r="J92" s="2">
        <v>0</v>
      </c>
      <c r="K92" s="3"/>
      <c r="L92" s="2">
        <v>0</v>
      </c>
      <c r="M92" s="3"/>
      <c r="N92" s="2">
        <v>0</v>
      </c>
      <c r="O92" s="3"/>
      <c r="P92" s="2">
        <v>0</v>
      </c>
      <c r="Q92" s="3"/>
      <c r="R92" s="2">
        <v>0</v>
      </c>
      <c r="S92" s="3"/>
      <c r="T92" s="2">
        <v>0</v>
      </c>
      <c r="U92" s="3"/>
      <c r="V92" s="2">
        <v>0</v>
      </c>
      <c r="W92" s="3"/>
      <c r="X92" s="2">
        <v>0</v>
      </c>
      <c r="Y92" s="3"/>
      <c r="Z92" s="2">
        <v>0</v>
      </c>
      <c r="AA92" s="3"/>
      <c r="AB92" s="2">
        <v>2154</v>
      </c>
      <c r="AC92" s="3"/>
      <c r="AD92" s="2">
        <v>0</v>
      </c>
      <c r="AE92" s="3"/>
      <c r="AF92" s="2">
        <v>0</v>
      </c>
      <c r="AG92" s="3"/>
      <c r="AH92" s="2">
        <v>0</v>
      </c>
      <c r="AI92" s="3"/>
      <c r="AJ92" s="2">
        <v>0</v>
      </c>
      <c r="AK92" s="3"/>
      <c r="AL92" s="2">
        <v>0</v>
      </c>
      <c r="AM92" s="3"/>
      <c r="AN92" s="2">
        <v>0</v>
      </c>
      <c r="AO92" s="3"/>
      <c r="AP92" s="2">
        <v>0</v>
      </c>
      <c r="AQ92" s="3"/>
      <c r="AR92" s="2">
        <v>0</v>
      </c>
      <c r="AS92" s="3"/>
      <c r="AT92" s="2">
        <v>0</v>
      </c>
      <c r="AU92" s="3"/>
      <c r="AV92" s="2">
        <v>0</v>
      </c>
      <c r="AW92" s="3"/>
      <c r="AX92" s="2">
        <v>0</v>
      </c>
      <c r="AY92" s="3"/>
      <c r="AZ92" s="2">
        <v>0</v>
      </c>
      <c r="BA92" s="3"/>
      <c r="BB92" s="2">
        <v>0</v>
      </c>
      <c r="BC92" s="3"/>
      <c r="BD92" s="2">
        <v>0</v>
      </c>
      <c r="BE92" s="3"/>
      <c r="BF92" s="2">
        <v>0</v>
      </c>
      <c r="BG92" s="3"/>
      <c r="BH92" s="2">
        <v>0</v>
      </c>
      <c r="BI92" s="3"/>
      <c r="BJ92" s="2">
        <v>0</v>
      </c>
      <c r="BK92" s="3"/>
      <c r="BL92" s="2">
        <v>0</v>
      </c>
      <c r="BM92" s="3"/>
      <c r="BN92" s="2">
        <v>0</v>
      </c>
      <c r="BO92" s="3"/>
      <c r="BP92" s="2">
        <v>0</v>
      </c>
      <c r="BQ92" s="3"/>
      <c r="BR92" s="2">
        <v>0</v>
      </c>
      <c r="BS92" s="3"/>
      <c r="BT92" s="2">
        <v>0</v>
      </c>
      <c r="BU92" s="3"/>
      <c r="BV92" s="2">
        <v>0</v>
      </c>
      <c r="BW92" s="3"/>
      <c r="BX92" s="2">
        <v>0</v>
      </c>
      <c r="BY92" s="3"/>
      <c r="BZ92" s="2">
        <v>0</v>
      </c>
      <c r="CA92" s="3"/>
      <c r="CB92" s="2">
        <v>0</v>
      </c>
      <c r="CC92" s="3"/>
      <c r="CD92" s="2">
        <v>0</v>
      </c>
      <c r="CE92" s="3"/>
      <c r="CF92" s="2">
        <v>0</v>
      </c>
      <c r="CG92" s="3"/>
      <c r="CH92" s="2">
        <v>0</v>
      </c>
      <c r="CI92" s="3"/>
      <c r="CJ92" s="2">
        <v>0</v>
      </c>
      <c r="CK92" s="3"/>
      <c r="CL92" s="2">
        <v>0</v>
      </c>
      <c r="CM92" s="3"/>
      <c r="CN92" s="2">
        <v>0</v>
      </c>
      <c r="CO92" s="3"/>
      <c r="CP92" s="2">
        <v>0</v>
      </c>
      <c r="CQ92" s="3"/>
      <c r="CR92" s="2">
        <v>0</v>
      </c>
      <c r="CS92" s="3"/>
      <c r="CT92" s="2">
        <v>0</v>
      </c>
      <c r="CU92" s="3"/>
      <c r="CV92" s="2">
        <v>0</v>
      </c>
      <c r="CW92" s="3"/>
      <c r="CX92" s="2">
        <v>0</v>
      </c>
      <c r="CY92" s="3"/>
      <c r="CZ92" s="2">
        <v>0</v>
      </c>
      <c r="DA92" s="3"/>
      <c r="DB92" s="2">
        <v>0</v>
      </c>
      <c r="DC92" s="3"/>
      <c r="DD92" s="2">
        <v>0</v>
      </c>
      <c r="DE92" s="3"/>
      <c r="DF92" s="2">
        <v>0</v>
      </c>
      <c r="DG92" s="3"/>
      <c r="DH92" s="2">
        <v>0</v>
      </c>
      <c r="DI92" s="3"/>
      <c r="DJ92" s="2">
        <v>0</v>
      </c>
      <c r="DK92" s="3"/>
      <c r="DL92" s="2">
        <v>0</v>
      </c>
      <c r="DM92" s="3"/>
      <c r="DN92" s="2">
        <v>0</v>
      </c>
      <c r="DO92" s="3"/>
      <c r="DP92" s="2">
        <v>0</v>
      </c>
      <c r="DQ92" s="3"/>
      <c r="DR92" s="2">
        <v>0</v>
      </c>
      <c r="DS92" s="3"/>
      <c r="DT92" s="2">
        <v>0</v>
      </c>
      <c r="DU92" s="3"/>
      <c r="DV92" s="2">
        <v>0</v>
      </c>
      <c r="DW92" s="3"/>
      <c r="DX92" s="2">
        <v>0</v>
      </c>
      <c r="DY92" s="3"/>
      <c r="DZ92" s="2">
        <v>0</v>
      </c>
      <c r="EA92" s="3"/>
      <c r="EB92" s="2">
        <v>0</v>
      </c>
      <c r="EC92" s="3"/>
      <c r="ED92" s="2">
        <v>0</v>
      </c>
      <c r="EE92" s="3"/>
      <c r="EF92" s="2">
        <v>0</v>
      </c>
      <c r="EG92" s="3"/>
      <c r="EH92" s="2">
        <f>ROUND(SUM(F92:EF92),5)</f>
        <v>2154</v>
      </c>
    </row>
    <row r="93" spans="1:138" ht="14.65" thickBot="1" x14ac:dyDescent="0.5">
      <c r="A93" s="1"/>
      <c r="B93" s="1"/>
      <c r="C93" s="1" t="s">
        <v>158</v>
      </c>
      <c r="D93" s="1"/>
      <c r="E93" s="1"/>
      <c r="F93" s="6">
        <f>ROUND(SUM(F91:F92),5)</f>
        <v>0</v>
      </c>
      <c r="G93" s="3"/>
      <c r="H93" s="6">
        <f>ROUND(SUM(H91:H92),5)</f>
        <v>0</v>
      </c>
      <c r="I93" s="3"/>
      <c r="J93" s="6">
        <f>ROUND(SUM(J91:J92),5)</f>
        <v>0</v>
      </c>
      <c r="K93" s="3"/>
      <c r="L93" s="6">
        <f>ROUND(SUM(L91:L92),5)</f>
        <v>0</v>
      </c>
      <c r="M93" s="3"/>
      <c r="N93" s="6">
        <f>ROUND(SUM(N91:N92),5)</f>
        <v>0</v>
      </c>
      <c r="O93" s="3"/>
      <c r="P93" s="6">
        <f>ROUND(SUM(P91:P92),5)</f>
        <v>0</v>
      </c>
      <c r="Q93" s="3"/>
      <c r="R93" s="6">
        <f>ROUND(SUM(R91:R92),5)</f>
        <v>0</v>
      </c>
      <c r="S93" s="3"/>
      <c r="T93" s="6">
        <f>ROUND(SUM(T91:T92),5)</f>
        <v>0</v>
      </c>
      <c r="U93" s="3"/>
      <c r="V93" s="6">
        <f>ROUND(SUM(V91:V92),5)</f>
        <v>0</v>
      </c>
      <c r="W93" s="3"/>
      <c r="X93" s="6">
        <f>ROUND(SUM(X91:X92),5)</f>
        <v>0</v>
      </c>
      <c r="Y93" s="3"/>
      <c r="Z93" s="6">
        <f>ROUND(SUM(Z91:Z92),5)</f>
        <v>0</v>
      </c>
      <c r="AA93" s="3"/>
      <c r="AB93" s="6">
        <f>ROUND(SUM(AB91:AB92),5)</f>
        <v>2154</v>
      </c>
      <c r="AC93" s="3"/>
      <c r="AD93" s="6">
        <f>ROUND(SUM(AD91:AD92),5)</f>
        <v>0</v>
      </c>
      <c r="AE93" s="3"/>
      <c r="AF93" s="6">
        <f>ROUND(SUM(AF91:AF92),5)</f>
        <v>0</v>
      </c>
      <c r="AG93" s="3"/>
      <c r="AH93" s="6">
        <f>ROUND(SUM(AH91:AH92),5)</f>
        <v>0</v>
      </c>
      <c r="AI93" s="3"/>
      <c r="AJ93" s="6">
        <f>ROUND(SUM(AJ91:AJ92),5)</f>
        <v>0</v>
      </c>
      <c r="AK93" s="3"/>
      <c r="AL93" s="6">
        <f>ROUND(SUM(AL91:AL92),5)</f>
        <v>0</v>
      </c>
      <c r="AM93" s="3"/>
      <c r="AN93" s="6">
        <f>ROUND(SUM(AN91:AN92),5)</f>
        <v>0</v>
      </c>
      <c r="AO93" s="3"/>
      <c r="AP93" s="6">
        <f>ROUND(SUM(AP91:AP92),5)</f>
        <v>0</v>
      </c>
      <c r="AQ93" s="3"/>
      <c r="AR93" s="6">
        <f>ROUND(SUM(AR91:AR92),5)</f>
        <v>0</v>
      </c>
      <c r="AS93" s="3"/>
      <c r="AT93" s="6">
        <f>ROUND(SUM(AT91:AT92),5)</f>
        <v>0</v>
      </c>
      <c r="AU93" s="3"/>
      <c r="AV93" s="6">
        <f>ROUND(SUM(AV91:AV92),5)</f>
        <v>0</v>
      </c>
      <c r="AW93" s="3"/>
      <c r="AX93" s="6">
        <f>ROUND(SUM(AX91:AX92),5)</f>
        <v>0</v>
      </c>
      <c r="AY93" s="3"/>
      <c r="AZ93" s="6">
        <f>ROUND(SUM(AZ91:AZ92),5)</f>
        <v>0</v>
      </c>
      <c r="BA93" s="3"/>
      <c r="BB93" s="6">
        <f>ROUND(SUM(BB91:BB92),5)</f>
        <v>0</v>
      </c>
      <c r="BC93" s="3"/>
      <c r="BD93" s="6">
        <f>ROUND(SUM(BD91:BD92),5)</f>
        <v>0</v>
      </c>
      <c r="BE93" s="3"/>
      <c r="BF93" s="6">
        <f>ROUND(SUM(BF91:BF92),5)</f>
        <v>0</v>
      </c>
      <c r="BG93" s="3"/>
      <c r="BH93" s="6">
        <f>ROUND(SUM(BH91:BH92),5)</f>
        <v>0</v>
      </c>
      <c r="BI93" s="3"/>
      <c r="BJ93" s="6">
        <f>ROUND(SUM(BJ91:BJ92),5)</f>
        <v>0</v>
      </c>
      <c r="BK93" s="3"/>
      <c r="BL93" s="6">
        <f>ROUND(SUM(BL91:BL92),5)</f>
        <v>0</v>
      </c>
      <c r="BM93" s="3"/>
      <c r="BN93" s="6">
        <f>ROUND(SUM(BN91:BN92),5)</f>
        <v>0</v>
      </c>
      <c r="BO93" s="3"/>
      <c r="BP93" s="6">
        <f>ROUND(SUM(BP91:BP92),5)</f>
        <v>0</v>
      </c>
      <c r="BQ93" s="3"/>
      <c r="BR93" s="6">
        <f>ROUND(SUM(BR91:BR92),5)</f>
        <v>0</v>
      </c>
      <c r="BS93" s="3"/>
      <c r="BT93" s="6">
        <f>ROUND(SUM(BT91:BT92),5)</f>
        <v>0</v>
      </c>
      <c r="BU93" s="3"/>
      <c r="BV93" s="6">
        <f>ROUND(SUM(BV91:BV92),5)</f>
        <v>0</v>
      </c>
      <c r="BW93" s="3"/>
      <c r="BX93" s="6">
        <f>ROUND(SUM(BX91:BX92),5)</f>
        <v>0</v>
      </c>
      <c r="BY93" s="3"/>
      <c r="BZ93" s="6">
        <f>ROUND(SUM(BZ91:BZ92),5)</f>
        <v>0</v>
      </c>
      <c r="CA93" s="3"/>
      <c r="CB93" s="6">
        <f>ROUND(SUM(CB91:CB92),5)</f>
        <v>0</v>
      </c>
      <c r="CC93" s="3"/>
      <c r="CD93" s="6">
        <f>ROUND(SUM(CD91:CD92),5)</f>
        <v>0</v>
      </c>
      <c r="CE93" s="3"/>
      <c r="CF93" s="6">
        <f>ROUND(SUM(CF91:CF92),5)</f>
        <v>0</v>
      </c>
      <c r="CG93" s="3"/>
      <c r="CH93" s="6">
        <f>ROUND(SUM(CH91:CH92),5)</f>
        <v>0</v>
      </c>
      <c r="CI93" s="3"/>
      <c r="CJ93" s="6">
        <f>ROUND(SUM(CJ91:CJ92),5)</f>
        <v>0</v>
      </c>
      <c r="CK93" s="3"/>
      <c r="CL93" s="6">
        <f>ROUND(SUM(CL91:CL92),5)</f>
        <v>0</v>
      </c>
      <c r="CM93" s="3"/>
      <c r="CN93" s="6">
        <f>ROUND(SUM(CN91:CN92),5)</f>
        <v>0</v>
      </c>
      <c r="CO93" s="3"/>
      <c r="CP93" s="6">
        <f>ROUND(SUM(CP91:CP92),5)</f>
        <v>0</v>
      </c>
      <c r="CQ93" s="3"/>
      <c r="CR93" s="6">
        <f>ROUND(SUM(CR91:CR92),5)</f>
        <v>0</v>
      </c>
      <c r="CS93" s="3"/>
      <c r="CT93" s="6">
        <f>ROUND(SUM(CT91:CT92),5)</f>
        <v>0</v>
      </c>
      <c r="CU93" s="3"/>
      <c r="CV93" s="6">
        <f>ROUND(SUM(CV91:CV92),5)</f>
        <v>0</v>
      </c>
      <c r="CW93" s="3"/>
      <c r="CX93" s="6">
        <f>ROUND(SUM(CX91:CX92),5)</f>
        <v>0</v>
      </c>
      <c r="CY93" s="3"/>
      <c r="CZ93" s="6">
        <f>ROUND(SUM(CZ91:CZ92),5)</f>
        <v>0</v>
      </c>
      <c r="DA93" s="3"/>
      <c r="DB93" s="6">
        <f>ROUND(SUM(DB91:DB92),5)</f>
        <v>0</v>
      </c>
      <c r="DC93" s="3"/>
      <c r="DD93" s="6">
        <f>ROUND(SUM(DD91:DD92),5)</f>
        <v>0</v>
      </c>
      <c r="DE93" s="3"/>
      <c r="DF93" s="6">
        <f>ROUND(SUM(DF91:DF92),5)</f>
        <v>0</v>
      </c>
      <c r="DG93" s="3"/>
      <c r="DH93" s="6">
        <f>ROUND(SUM(DH91:DH92),5)</f>
        <v>0</v>
      </c>
      <c r="DI93" s="3"/>
      <c r="DJ93" s="6">
        <f>ROUND(SUM(DJ91:DJ92),5)</f>
        <v>0</v>
      </c>
      <c r="DK93" s="3"/>
      <c r="DL93" s="6">
        <f>ROUND(SUM(DL91:DL92),5)</f>
        <v>0</v>
      </c>
      <c r="DM93" s="3"/>
      <c r="DN93" s="6">
        <f>ROUND(SUM(DN91:DN92),5)</f>
        <v>0</v>
      </c>
      <c r="DO93" s="3"/>
      <c r="DP93" s="6">
        <f>ROUND(SUM(DP91:DP92),5)</f>
        <v>0</v>
      </c>
      <c r="DQ93" s="3"/>
      <c r="DR93" s="6">
        <f>ROUND(SUM(DR91:DR92),5)</f>
        <v>0</v>
      </c>
      <c r="DS93" s="3"/>
      <c r="DT93" s="6">
        <f>ROUND(SUM(DT91:DT92),5)</f>
        <v>0</v>
      </c>
      <c r="DU93" s="3"/>
      <c r="DV93" s="6">
        <f>ROUND(SUM(DV91:DV92),5)</f>
        <v>0</v>
      </c>
      <c r="DW93" s="3"/>
      <c r="DX93" s="6">
        <f>ROUND(SUM(DX91:DX92),5)</f>
        <v>0</v>
      </c>
      <c r="DY93" s="3"/>
      <c r="DZ93" s="6">
        <f>ROUND(SUM(DZ91:DZ92),5)</f>
        <v>0</v>
      </c>
      <c r="EA93" s="3"/>
      <c r="EB93" s="6">
        <f>ROUND(SUM(EB91:EB92),5)</f>
        <v>0</v>
      </c>
      <c r="EC93" s="3"/>
      <c r="ED93" s="6">
        <f>ROUND(SUM(ED91:ED92),5)</f>
        <v>0</v>
      </c>
      <c r="EE93" s="3"/>
      <c r="EF93" s="6">
        <f>ROUND(SUM(EF91:EF92),5)</f>
        <v>0</v>
      </c>
      <c r="EG93" s="3"/>
      <c r="EH93" s="6">
        <f>ROUND(SUM(F93:EF93),5)</f>
        <v>2154</v>
      </c>
    </row>
    <row r="94" spans="1:138" ht="14.65" thickBot="1" x14ac:dyDescent="0.5">
      <c r="A94" s="1"/>
      <c r="B94" s="1" t="s">
        <v>159</v>
      </c>
      <c r="C94" s="1"/>
      <c r="D94" s="1"/>
      <c r="E94" s="1"/>
      <c r="F94" s="6">
        <f>ROUND(F84+F90-F93,5)</f>
        <v>0</v>
      </c>
      <c r="G94" s="3"/>
      <c r="H94" s="6">
        <f>ROUND(H84+H90-H93,5)</f>
        <v>0</v>
      </c>
      <c r="I94" s="3"/>
      <c r="J94" s="6">
        <f>ROUND(J84+J90-J93,5)</f>
        <v>0</v>
      </c>
      <c r="K94" s="3"/>
      <c r="L94" s="6">
        <f>ROUND(L84+L90-L93,5)</f>
        <v>0</v>
      </c>
      <c r="M94" s="3"/>
      <c r="N94" s="6">
        <f>ROUND(N84+N90-N93,5)</f>
        <v>0</v>
      </c>
      <c r="O94" s="3"/>
      <c r="P94" s="6">
        <f>ROUND(P84+P90-P93,5)</f>
        <v>0</v>
      </c>
      <c r="Q94" s="3"/>
      <c r="R94" s="6">
        <f>ROUND(R84+R90-R93,5)</f>
        <v>393.32</v>
      </c>
      <c r="S94" s="3"/>
      <c r="T94" s="6">
        <f>ROUND(T84+T90-T93,5)</f>
        <v>0</v>
      </c>
      <c r="U94" s="3"/>
      <c r="V94" s="6">
        <f>ROUND(V84+V90-V93,5)</f>
        <v>172</v>
      </c>
      <c r="W94" s="3"/>
      <c r="X94" s="6">
        <f>ROUND(X84+X90-X93,5)</f>
        <v>88.8</v>
      </c>
      <c r="Y94" s="3"/>
      <c r="Z94" s="6">
        <f>ROUND(Z84+Z90-Z93,5)</f>
        <v>0</v>
      </c>
      <c r="AA94" s="3"/>
      <c r="AB94" s="6">
        <f>ROUND(AB84+AB90-AB93,5)</f>
        <v>98989.38</v>
      </c>
      <c r="AC94" s="3"/>
      <c r="AD94" s="6">
        <f>ROUND(AD84+AD90-AD93,5)</f>
        <v>0</v>
      </c>
      <c r="AE94" s="3"/>
      <c r="AF94" s="6">
        <f>ROUND(AF84+AF90-AF93,5)</f>
        <v>0</v>
      </c>
      <c r="AG94" s="3"/>
      <c r="AH94" s="6">
        <f>ROUND(AH84+AH90-AH93,5)</f>
        <v>93.41</v>
      </c>
      <c r="AI94" s="3"/>
      <c r="AJ94" s="6">
        <f>ROUND(AJ84+AJ90-AJ93,5)</f>
        <v>200</v>
      </c>
      <c r="AK94" s="3"/>
      <c r="AL94" s="6">
        <f>ROUND(AL84+AL90-AL93,5)</f>
        <v>0</v>
      </c>
      <c r="AM94" s="3"/>
      <c r="AN94" s="6">
        <f>ROUND(AN84+AN90-AN93,5)</f>
        <v>-98.41</v>
      </c>
      <c r="AO94" s="3"/>
      <c r="AP94" s="6">
        <f>ROUND(AP84+AP90-AP93,5)</f>
        <v>0</v>
      </c>
      <c r="AQ94" s="3"/>
      <c r="AR94" s="6">
        <f>ROUND(AR84+AR90-AR93,5)</f>
        <v>0</v>
      </c>
      <c r="AS94" s="3"/>
      <c r="AT94" s="6">
        <f>ROUND(AT84+AT90-AT93,5)</f>
        <v>0</v>
      </c>
      <c r="AU94" s="3"/>
      <c r="AV94" s="6">
        <f>ROUND(AV84+AV90-AV93,5)</f>
        <v>-1369.02</v>
      </c>
      <c r="AW94" s="3"/>
      <c r="AX94" s="6">
        <f>ROUND(AX84+AX90-AX93,5)</f>
        <v>150</v>
      </c>
      <c r="AY94" s="3"/>
      <c r="AZ94" s="6">
        <f>ROUND(AZ84+AZ90-AZ93,5)</f>
        <v>1117.43</v>
      </c>
      <c r="BA94" s="3"/>
      <c r="BB94" s="6">
        <f>ROUND(BB84+BB90-BB93,5)</f>
        <v>-1998.71</v>
      </c>
      <c r="BC94" s="3"/>
      <c r="BD94" s="6">
        <f>ROUND(BD84+BD90-BD93,5)</f>
        <v>0</v>
      </c>
      <c r="BE94" s="3"/>
      <c r="BF94" s="6">
        <f>ROUND(BF84+BF90-BF93,5)</f>
        <v>0</v>
      </c>
      <c r="BG94" s="3"/>
      <c r="BH94" s="6">
        <f>ROUND(BH84+BH90-BH93,5)</f>
        <v>1006</v>
      </c>
      <c r="BI94" s="3"/>
      <c r="BJ94" s="6">
        <f>ROUND(BJ84+BJ90-BJ93,5)</f>
        <v>0</v>
      </c>
      <c r="BK94" s="3"/>
      <c r="BL94" s="6">
        <f>ROUND(BL84+BL90-BL93,5)</f>
        <v>75</v>
      </c>
      <c r="BM94" s="3"/>
      <c r="BN94" s="6">
        <f>ROUND(BN84+BN90-BN93,5)</f>
        <v>63.25</v>
      </c>
      <c r="BO94" s="3"/>
      <c r="BP94" s="6">
        <f>ROUND(BP84+BP90-BP93,5)</f>
        <v>786.5</v>
      </c>
      <c r="BQ94" s="3"/>
      <c r="BR94" s="6">
        <f>ROUND(BR84+BR90-BR93,5)</f>
        <v>2985</v>
      </c>
      <c r="BS94" s="3"/>
      <c r="BT94" s="6">
        <f>ROUND(BT84+BT90-BT93,5)</f>
        <v>0</v>
      </c>
      <c r="BU94" s="3"/>
      <c r="BV94" s="6">
        <f>ROUND(BV84+BV90-BV93,5)</f>
        <v>100</v>
      </c>
      <c r="BW94" s="3"/>
      <c r="BX94" s="6">
        <f>ROUND(BX84+BX90-BX93,5)</f>
        <v>-3017.04</v>
      </c>
      <c r="BY94" s="3"/>
      <c r="BZ94" s="6">
        <f>ROUND(BZ84+BZ90-BZ93,5)</f>
        <v>246</v>
      </c>
      <c r="CA94" s="3"/>
      <c r="CB94" s="6">
        <f>ROUND(CB84+CB90-CB93,5)</f>
        <v>260</v>
      </c>
      <c r="CC94" s="3"/>
      <c r="CD94" s="6">
        <f>ROUND(CD84+CD90-CD93,5)</f>
        <v>152.6</v>
      </c>
      <c r="CE94" s="3"/>
      <c r="CF94" s="6">
        <f>ROUND(CF84+CF90-CF93,5)</f>
        <v>152.6</v>
      </c>
      <c r="CG94" s="3"/>
      <c r="CH94" s="6">
        <f>ROUND(CH84+CH90-CH93,5)</f>
        <v>100</v>
      </c>
      <c r="CI94" s="3"/>
      <c r="CJ94" s="6">
        <f>ROUND(CJ84+CJ90-CJ93,5)</f>
        <v>318.60000000000002</v>
      </c>
      <c r="CK94" s="3"/>
      <c r="CL94" s="6">
        <f>ROUND(CL84+CL90-CL93,5)</f>
        <v>340</v>
      </c>
      <c r="CM94" s="3"/>
      <c r="CN94" s="6">
        <f>ROUND(CN84+CN90-CN93,5)</f>
        <v>111.3</v>
      </c>
      <c r="CO94" s="3"/>
      <c r="CP94" s="6">
        <f>ROUND(CP84+CP90-CP93,5)</f>
        <v>1360</v>
      </c>
      <c r="CQ94" s="3"/>
      <c r="CR94" s="6">
        <f>ROUND(CR84+CR90-CR93,5)</f>
        <v>0</v>
      </c>
      <c r="CS94" s="3"/>
      <c r="CT94" s="6">
        <f>ROUND(CT84+CT90-CT93,5)</f>
        <v>3458.21</v>
      </c>
      <c r="CU94" s="3"/>
      <c r="CV94" s="6">
        <f>ROUND(CV84+CV90-CV93,5)</f>
        <v>-6499.31</v>
      </c>
      <c r="CW94" s="3"/>
      <c r="CX94" s="6">
        <f>ROUND(CX84+CX90-CX93,5)</f>
        <v>1030</v>
      </c>
      <c r="CY94" s="3"/>
      <c r="CZ94" s="6">
        <f>ROUND(CZ84+CZ90-CZ93,5)</f>
        <v>0</v>
      </c>
      <c r="DA94" s="3"/>
      <c r="DB94" s="6">
        <f>ROUND(DB84+DB90-DB93,5)</f>
        <v>14148.98</v>
      </c>
      <c r="DC94" s="3"/>
      <c r="DD94" s="6">
        <f>ROUND(DD84+DD90-DD93,5)</f>
        <v>0</v>
      </c>
      <c r="DE94" s="3"/>
      <c r="DF94" s="6">
        <f>ROUND(DF84+DF90-DF93,5)</f>
        <v>15</v>
      </c>
      <c r="DG94" s="3"/>
      <c r="DH94" s="6">
        <f>ROUND(DH84+DH90-DH93,5)</f>
        <v>100</v>
      </c>
      <c r="DI94" s="3"/>
      <c r="DJ94" s="6">
        <f>ROUND(DJ84+DJ90-DJ93,5)</f>
        <v>3771.37</v>
      </c>
      <c r="DK94" s="3"/>
      <c r="DL94" s="6">
        <f>ROUND(DL84+DL90-DL93,5)</f>
        <v>-3771.37</v>
      </c>
      <c r="DM94" s="3"/>
      <c r="DN94" s="6">
        <f>ROUND(DN84+DN90-DN93,5)</f>
        <v>0</v>
      </c>
      <c r="DO94" s="3"/>
      <c r="DP94" s="6">
        <f>ROUND(DP84+DP90-DP93,5)</f>
        <v>400</v>
      </c>
      <c r="DQ94" s="3"/>
      <c r="DR94" s="6">
        <f>ROUND(DR84+DR90-DR93,5)</f>
        <v>150</v>
      </c>
      <c r="DS94" s="3"/>
      <c r="DT94" s="6">
        <f>ROUND(DT84+DT90-DT93,5)</f>
        <v>-3405</v>
      </c>
      <c r="DU94" s="3"/>
      <c r="DV94" s="6">
        <f>ROUND(DV84+DV90-DV93,5)</f>
        <v>1600</v>
      </c>
      <c r="DW94" s="3"/>
      <c r="DX94" s="6">
        <f>ROUND(DX84+DX90-DX93,5)</f>
        <v>0</v>
      </c>
      <c r="DY94" s="3"/>
      <c r="DZ94" s="6">
        <f>ROUND(DZ84+DZ90-DZ93,5)</f>
        <v>8000</v>
      </c>
      <c r="EA94" s="3"/>
      <c r="EB94" s="6">
        <f>ROUND(EB84+EB90-EB93,5)</f>
        <v>0</v>
      </c>
      <c r="EC94" s="3"/>
      <c r="ED94" s="6">
        <f>ROUND(ED84+ED90-ED93,5)</f>
        <v>-3</v>
      </c>
      <c r="EE94" s="3"/>
      <c r="EF94" s="6">
        <f>ROUND(EF84+EF90-EF93,5)</f>
        <v>13349.75</v>
      </c>
      <c r="EG94" s="3"/>
      <c r="EH94" s="6">
        <f>ROUND(SUM(F94:EF94),5)</f>
        <v>135122.64000000001</v>
      </c>
    </row>
    <row r="95" spans="1:138" s="8" customFormat="1" ht="10.5" thickBot="1" x14ac:dyDescent="0.35">
      <c r="A95" s="1" t="s">
        <v>160</v>
      </c>
      <c r="B95" s="1"/>
      <c r="C95" s="1"/>
      <c r="D95" s="1"/>
      <c r="E95" s="1"/>
      <c r="F95" s="7">
        <f>ROUND(F83+F94,5)</f>
        <v>23919.53</v>
      </c>
      <c r="G95" s="1"/>
      <c r="H95" s="7">
        <f>ROUND(H83+H94,5)</f>
        <v>-45205.05</v>
      </c>
      <c r="I95" s="1"/>
      <c r="J95" s="7">
        <f>ROUND(J83+J94,5)</f>
        <v>-21817.31</v>
      </c>
      <c r="K95" s="1"/>
      <c r="L95" s="7">
        <f>ROUND(L83+L94,5)</f>
        <v>9782.7999999999993</v>
      </c>
      <c r="M95" s="1"/>
      <c r="N95" s="7">
        <f>ROUND(N83+N94,5)</f>
        <v>12161.57</v>
      </c>
      <c r="O95" s="1"/>
      <c r="P95" s="7">
        <f>ROUND(P83+P94,5)</f>
        <v>5142.4799999999996</v>
      </c>
      <c r="Q95" s="1"/>
      <c r="R95" s="7">
        <f>ROUND(R83+R94,5)</f>
        <v>-6831.12</v>
      </c>
      <c r="S95" s="1"/>
      <c r="T95" s="7">
        <f>ROUND(T83+T94,5)</f>
        <v>30799.17</v>
      </c>
      <c r="U95" s="1"/>
      <c r="V95" s="7">
        <f>ROUND(V83+V94,5)</f>
        <v>15382.99</v>
      </c>
      <c r="W95" s="1"/>
      <c r="X95" s="7">
        <f>ROUND(X83+X94,5)</f>
        <v>6144.38</v>
      </c>
      <c r="Y95" s="1"/>
      <c r="Z95" s="7">
        <f>ROUND(Z83+Z94,5)</f>
        <v>-60113.2</v>
      </c>
      <c r="AA95" s="1"/>
      <c r="AB95" s="7">
        <f>ROUND(AB83+AB94,5)</f>
        <v>36624.17</v>
      </c>
      <c r="AC95" s="1"/>
      <c r="AD95" s="7">
        <f>ROUND(AD83+AD94,5)</f>
        <v>-58722.37</v>
      </c>
      <c r="AE95" s="1"/>
      <c r="AF95" s="7">
        <f>ROUND(AF83+AF94,5)</f>
        <v>81588.78</v>
      </c>
      <c r="AG95" s="1"/>
      <c r="AH95" s="7">
        <f>ROUND(AH83+AH94,5)</f>
        <v>7860.6</v>
      </c>
      <c r="AI95" s="1"/>
      <c r="AJ95" s="7">
        <f>ROUND(AJ83+AJ94,5)</f>
        <v>97772.7</v>
      </c>
      <c r="AK95" s="1"/>
      <c r="AL95" s="7">
        <f>ROUND(AL83+AL94,5)</f>
        <v>8410.5400000000009</v>
      </c>
      <c r="AM95" s="1"/>
      <c r="AN95" s="7">
        <f>ROUND(AN83+AN94,5)</f>
        <v>67183.100000000006</v>
      </c>
      <c r="AO95" s="1"/>
      <c r="AP95" s="7">
        <f>ROUND(AP83+AP94,5)</f>
        <v>17457.7</v>
      </c>
      <c r="AQ95" s="1"/>
      <c r="AR95" s="7">
        <f>ROUND(AR83+AR94,5)</f>
        <v>81354.990000000005</v>
      </c>
      <c r="AS95" s="1"/>
      <c r="AT95" s="7">
        <f>ROUND(AT83+AT94,5)</f>
        <v>-21424.7</v>
      </c>
      <c r="AU95" s="1"/>
      <c r="AV95" s="7">
        <f>ROUND(AV83+AV94,5)</f>
        <v>-35840.65</v>
      </c>
      <c r="AW95" s="1"/>
      <c r="AX95" s="7">
        <f>ROUND(AX83+AX94,5)</f>
        <v>13010.73</v>
      </c>
      <c r="AY95" s="1"/>
      <c r="AZ95" s="7">
        <f>ROUND(AZ83+AZ94,5)</f>
        <v>-43078.65</v>
      </c>
      <c r="BA95" s="1"/>
      <c r="BB95" s="7">
        <f>ROUND(BB83+BB94,5)</f>
        <v>177424</v>
      </c>
      <c r="BC95" s="1"/>
      <c r="BD95" s="7">
        <f>ROUND(BD83+BD94,5)</f>
        <v>41378.92</v>
      </c>
      <c r="BE95" s="1"/>
      <c r="BF95" s="7">
        <f>ROUND(BF83+BF94,5)</f>
        <v>-280717.78000000003</v>
      </c>
      <c r="BG95" s="1"/>
      <c r="BH95" s="7">
        <f>ROUND(BH83+BH94,5)</f>
        <v>82641.240000000005</v>
      </c>
      <c r="BI95" s="1"/>
      <c r="BJ95" s="7">
        <f>ROUND(BJ83+BJ94,5)</f>
        <v>6852.51</v>
      </c>
      <c r="BK95" s="1"/>
      <c r="BL95" s="7">
        <f>ROUND(BL83+BL94,5)</f>
        <v>13566.23</v>
      </c>
      <c r="BM95" s="1"/>
      <c r="BN95" s="7">
        <f>ROUND(BN83+BN94,5)</f>
        <v>-145576.13</v>
      </c>
      <c r="BO95" s="1"/>
      <c r="BP95" s="7">
        <f>ROUND(BP83+BP94,5)</f>
        <v>-24860.68</v>
      </c>
      <c r="BQ95" s="1"/>
      <c r="BR95" s="7">
        <f>ROUND(BR83+BR94,5)</f>
        <v>33844.699999999997</v>
      </c>
      <c r="BS95" s="1"/>
      <c r="BT95" s="7">
        <f>ROUND(BT83+BT94,5)</f>
        <v>4215.34</v>
      </c>
      <c r="BU95" s="1"/>
      <c r="BV95" s="7">
        <f>ROUND(BV83+BV94,5)</f>
        <v>12102.89</v>
      </c>
      <c r="BW95" s="1"/>
      <c r="BX95" s="7">
        <f>ROUND(BX83+BX94,5)</f>
        <v>302127.25</v>
      </c>
      <c r="BY95" s="1"/>
      <c r="BZ95" s="7">
        <f>ROUND(BZ83+BZ94,5)</f>
        <v>-41062.83</v>
      </c>
      <c r="CA95" s="1"/>
      <c r="CB95" s="7">
        <f>ROUND(CB83+CB94,5)</f>
        <v>33677.31</v>
      </c>
      <c r="CC95" s="1"/>
      <c r="CD95" s="7">
        <f>ROUND(CD83+CD94,5)</f>
        <v>-2944.87</v>
      </c>
      <c r="CE95" s="1"/>
      <c r="CF95" s="7">
        <f>ROUND(CF83+CF94,5)</f>
        <v>-26653.51</v>
      </c>
      <c r="CG95" s="1"/>
      <c r="CH95" s="7">
        <f>ROUND(CH83+CH94,5)</f>
        <v>-4608.4799999999996</v>
      </c>
      <c r="CI95" s="1"/>
      <c r="CJ95" s="7">
        <f>ROUND(CJ83+CJ94,5)</f>
        <v>4281.22</v>
      </c>
      <c r="CK95" s="1"/>
      <c r="CL95" s="7">
        <f>ROUND(CL83+CL94,5)</f>
        <v>13222.01</v>
      </c>
      <c r="CM95" s="1"/>
      <c r="CN95" s="7">
        <f>ROUND(CN83+CN94,5)</f>
        <v>34079.14</v>
      </c>
      <c r="CO95" s="1"/>
      <c r="CP95" s="7">
        <f>ROUND(CP83+CP94,5)</f>
        <v>20852.28</v>
      </c>
      <c r="CQ95" s="1"/>
      <c r="CR95" s="7">
        <f>ROUND(CR83+CR94,5)</f>
        <v>-4664.54</v>
      </c>
      <c r="CS95" s="1"/>
      <c r="CT95" s="7">
        <f>ROUND(CT83+CT94,5)</f>
        <v>22417.08</v>
      </c>
      <c r="CU95" s="1"/>
      <c r="CV95" s="7">
        <f>ROUND(CV83+CV94,5)</f>
        <v>-63734.86</v>
      </c>
      <c r="CW95" s="1"/>
      <c r="CX95" s="7">
        <f>ROUND(CX83+CX94,5)</f>
        <v>9870.43</v>
      </c>
      <c r="CY95" s="1"/>
      <c r="CZ95" s="7">
        <f>ROUND(CZ83+CZ94,5)</f>
        <v>-78569.05</v>
      </c>
      <c r="DA95" s="1"/>
      <c r="DB95" s="7">
        <f>ROUND(DB83+DB94,5)</f>
        <v>-94462.97</v>
      </c>
      <c r="DC95" s="1"/>
      <c r="DD95" s="7">
        <f>ROUND(DD83+DD94,5)</f>
        <v>-7705.03</v>
      </c>
      <c r="DE95" s="1"/>
      <c r="DF95" s="7">
        <f>ROUND(DF83+DF94,5)</f>
        <v>-4067.59</v>
      </c>
      <c r="DG95" s="1"/>
      <c r="DH95" s="7">
        <f>ROUND(DH83+DH94,5)</f>
        <v>9755.7099999999991</v>
      </c>
      <c r="DI95" s="1"/>
      <c r="DJ95" s="7">
        <f>ROUND(DJ83+DJ94,5)</f>
        <v>-14596.44</v>
      </c>
      <c r="DK95" s="1"/>
      <c r="DL95" s="7">
        <f>ROUND(DL83+DL94,5)</f>
        <v>15098.3</v>
      </c>
      <c r="DM95" s="1"/>
      <c r="DN95" s="7">
        <f>ROUND(DN83+DN94,5)</f>
        <v>28464.1</v>
      </c>
      <c r="DO95" s="1"/>
      <c r="DP95" s="7">
        <f>ROUND(DP83+DP94,5)</f>
        <v>26134.99</v>
      </c>
      <c r="DQ95" s="1"/>
      <c r="DR95" s="7">
        <f>ROUND(DR83+DR94,5)</f>
        <v>23681.82</v>
      </c>
      <c r="DS95" s="1"/>
      <c r="DT95" s="7">
        <f>ROUND(DT83+DT94,5)</f>
        <v>-44471.69</v>
      </c>
      <c r="DU95" s="1"/>
      <c r="DV95" s="7">
        <f>ROUND(DV83+DV94,5)</f>
        <v>91634.61</v>
      </c>
      <c r="DW95" s="1"/>
      <c r="DX95" s="7">
        <f>ROUND(DX83+DX94,5)</f>
        <v>445.42</v>
      </c>
      <c r="DY95" s="1"/>
      <c r="DZ95" s="7">
        <f>ROUND(DZ83+DZ94,5)</f>
        <v>40098.239999999998</v>
      </c>
      <c r="EA95" s="1"/>
      <c r="EB95" s="7">
        <f>ROUND(EB83+EB94,5)</f>
        <v>-104898.58</v>
      </c>
      <c r="EC95" s="1"/>
      <c r="ED95" s="7">
        <f>ROUND(ED83+ED94,5)</f>
        <v>33692.61</v>
      </c>
      <c r="EE95" s="1"/>
      <c r="EF95" s="7">
        <f>ROUND(EF83+EF94,5)</f>
        <v>63862.8</v>
      </c>
      <c r="EG95" s="1"/>
      <c r="EH95" s="7">
        <f>ROUND(SUM(F95:EF95),5)</f>
        <v>423389.3</v>
      </c>
    </row>
    <row r="96" spans="1:138" ht="14.65" thickTop="1" x14ac:dyDescent="0.45"/>
  </sheetData>
  <pageMargins left="0.7" right="0.7" top="0.75" bottom="0.75" header="0.1" footer="0.3"/>
  <pageSetup orientation="portrait" r:id="rId1"/>
  <headerFooter>
    <oddHeader>&amp;L&amp;"Arial,Bold"&amp;8 12:08 PM
&amp;"Arial,Bold"&amp;8 09/17/26
&amp;"Arial,Bold"&amp;8 Accrual Basis&amp;C&amp;"Arial,Bold"&amp;12 Lily Corporation
&amp;"Arial,Bold"&amp;14 Profit &amp;&amp; Loss
&amp;"Arial,Bold"&amp;10 January 2021 through June 2026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Dione Stolarski</dc:creator>
  <cp:lastModifiedBy>Robert Trout</cp:lastModifiedBy>
  <dcterms:created xsi:type="dcterms:W3CDTF">2026-09-17T17:08:05Z</dcterms:created>
  <dcterms:modified xsi:type="dcterms:W3CDTF">2026-09-21T18:36:41Z</dcterms:modified>
</cp:coreProperties>
</file>